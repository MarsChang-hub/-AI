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1991/Desktop/"/>
    </mc:Choice>
  </mc:AlternateContent>
  <xr:revisionPtr revIDLastSave="0" documentId="8_{A10CDA56-4D62-F34D-BFE8-CFB8AEB600D0}" xr6:coauthVersionLast="47" xr6:coauthVersionMax="47" xr10:uidLastSave="{00000000-0000-0000-0000-000000000000}"/>
  <bookViews>
    <workbookView xWindow="0" yWindow="500" windowWidth="28800" windowHeight="15760" xr2:uid="{F1991295-AEDD-AC42-8ADD-C229A88980FB}"/>
  </bookViews>
  <sheets>
    <sheet name="工作表1" sheetId="12" r:id="rId1"/>
    <sheet name="商品Database敘述" sheetId="8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1" i="8" l="1"/>
  <c r="A33" i="8" l="1"/>
  <c r="A31" i="8"/>
  <c r="A30" i="8"/>
  <c r="A29" i="8"/>
</calcChain>
</file>

<file path=xl/sharedStrings.xml><?xml version="1.0" encoding="utf-8"?>
<sst xmlns="http://schemas.openxmlformats.org/spreadsheetml/2006/main" count="258" uniqueCount="209">
  <si>
    <t>重大疾病</t>
    <phoneticPr fontId="1" type="noConversion"/>
  </si>
  <si>
    <t>初次罹癌</t>
    <phoneticPr fontId="1" type="noConversion"/>
  </si>
  <si>
    <t>癌症身故</t>
    <phoneticPr fontId="1" type="noConversion"/>
  </si>
  <si>
    <t>長期照護狀態</t>
    <phoneticPr fontId="1" type="noConversion"/>
  </si>
  <si>
    <t>商品代碼</t>
    <phoneticPr fontId="1" type="noConversion"/>
  </si>
  <si>
    <t>基準數</t>
    <phoneticPr fontId="1" type="noConversion"/>
  </si>
  <si>
    <t>門診手術定額</t>
    <phoneticPr fontId="1" type="noConversion"/>
  </si>
  <si>
    <t>JOEBAA</t>
    <phoneticPr fontId="1" type="noConversion"/>
  </si>
  <si>
    <t>JOEBDA</t>
    <phoneticPr fontId="1" type="noConversion"/>
  </si>
  <si>
    <t>FCTR</t>
    <phoneticPr fontId="1" type="noConversion"/>
  </si>
  <si>
    <t>DPAA</t>
    <phoneticPr fontId="1" type="noConversion"/>
  </si>
  <si>
    <t>LEGORA</t>
    <phoneticPr fontId="1" type="noConversion"/>
  </si>
  <si>
    <t>LEGOQA</t>
    <phoneticPr fontId="1" type="noConversion"/>
  </si>
  <si>
    <t>LEGOWA</t>
    <phoneticPr fontId="1" type="noConversion"/>
  </si>
  <si>
    <t>MAJIAA</t>
    <phoneticPr fontId="1" type="noConversion"/>
  </si>
  <si>
    <t>MT</t>
    <phoneticPr fontId="1" type="noConversion"/>
  </si>
  <si>
    <t>ML</t>
    <phoneticPr fontId="1" type="noConversion"/>
  </si>
  <si>
    <t>APAED</t>
    <phoneticPr fontId="1" type="noConversion"/>
  </si>
  <si>
    <t>FNHRL</t>
    <phoneticPr fontId="1" type="noConversion"/>
  </si>
  <si>
    <t>LEGOCF</t>
    <phoneticPr fontId="1" type="noConversion"/>
  </si>
  <si>
    <t>LEGOAD</t>
    <phoneticPr fontId="1" type="noConversion"/>
  </si>
  <si>
    <t>LEGOHE</t>
    <phoneticPr fontId="1" type="noConversion"/>
  </si>
  <si>
    <t>LEGOEF</t>
    <phoneticPr fontId="1" type="noConversion"/>
  </si>
  <si>
    <t>LSCN</t>
    <phoneticPr fontId="1" type="noConversion"/>
  </si>
  <si>
    <t>LEGONC</t>
    <phoneticPr fontId="1" type="noConversion"/>
  </si>
  <si>
    <t>LEGOUC</t>
    <phoneticPr fontId="1" type="noConversion"/>
  </si>
  <si>
    <t>LEGOYC</t>
    <phoneticPr fontId="1" type="noConversion"/>
  </si>
  <si>
    <t>KDDR</t>
    <phoneticPr fontId="1" type="noConversion"/>
  </si>
  <si>
    <t>LEGOIC</t>
    <phoneticPr fontId="1" type="noConversion"/>
  </si>
  <si>
    <t>IHLR</t>
    <phoneticPr fontId="1" type="noConversion"/>
  </si>
  <si>
    <t>LEGOBD</t>
    <phoneticPr fontId="1" type="noConversion"/>
  </si>
  <si>
    <t>[實支實付與定額給付，擇優給付]</t>
    <phoneticPr fontId="1" type="noConversion"/>
  </si>
  <si>
    <t>[一般病房與加護病房合併給付]</t>
    <phoneticPr fontId="1" type="noConversion"/>
  </si>
  <si>
    <t>LEGOXB</t>
    <phoneticPr fontId="1" type="noConversion"/>
  </si>
  <si>
    <t>備註：商品更新後代碼需要複製貼上</t>
    <phoneticPr fontId="1" type="noConversion"/>
  </si>
  <si>
    <t>[65歲後住院日額增加]</t>
    <phoneticPr fontId="1" type="noConversion"/>
  </si>
  <si>
    <t>[乘以給付比率，最高486%，另有手術看護金]</t>
    <phoneticPr fontId="1" type="noConversion"/>
  </si>
  <si>
    <t>備註(住院手術定額)</t>
    <phoneticPr fontId="1" type="noConversion"/>
  </si>
  <si>
    <t>[乘以給付比率，最高486%，另有重大手術關懷金]</t>
    <phoneticPr fontId="1" type="noConversion"/>
  </si>
  <si>
    <t>備註(住院手術實支)</t>
    <phoneticPr fontId="1" type="noConversion"/>
  </si>
  <si>
    <t>[特定手術5倍給付]</t>
    <phoneticPr fontId="1" type="noConversion"/>
  </si>
  <si>
    <t>[乘以給付比率 5% - 500%]</t>
    <phoneticPr fontId="1" type="noConversion"/>
  </si>
  <si>
    <t>住院日額</t>
    <phoneticPr fontId="1" type="noConversion"/>
  </si>
  <si>
    <t>加護病房</t>
    <phoneticPr fontId="1" type="noConversion"/>
  </si>
  <si>
    <t xml:space="preserve"> [另有特定處置保險金]</t>
    <phoneticPr fontId="1" type="noConversion"/>
  </si>
  <si>
    <t>[附約手術給付比率最高300%]</t>
    <phoneticPr fontId="1" type="noConversion"/>
  </si>
  <si>
    <t>門診手術實支</t>
    <phoneticPr fontId="1" type="noConversion"/>
  </si>
  <si>
    <t>[另有特定處置保險金]</t>
    <phoneticPr fontId="1" type="noConversion"/>
  </si>
  <si>
    <t>住院實支</t>
    <phoneticPr fontId="1" type="noConversion"/>
  </si>
  <si>
    <t>[實支實付；高貴醫材藥材、標靶藥物，保險公司買單]</t>
    <phoneticPr fontId="1" type="noConversion"/>
  </si>
  <si>
    <t>意外住院手術</t>
    <phoneticPr fontId="1" type="noConversion"/>
  </si>
  <si>
    <t>[意外手術最高3倍]</t>
    <phoneticPr fontId="1" type="noConversion"/>
  </si>
  <si>
    <t>[特定癌症另行給付]</t>
    <phoneticPr fontId="1" type="noConversion"/>
  </si>
  <si>
    <t>[部分給付需取得重大傷病卡]</t>
    <phoneticPr fontId="1" type="noConversion"/>
  </si>
  <si>
    <t>[終身醫療另有身故還本金]</t>
  </si>
  <si>
    <t>癌症日額</t>
    <phoneticPr fontId="1" type="noConversion"/>
  </si>
  <si>
    <t>[安寧病房亦理賠]</t>
    <phoneticPr fontId="1" type="noConversion"/>
  </si>
  <si>
    <t>[給付日數無上限]</t>
    <phoneticPr fontId="1" type="noConversion"/>
  </si>
  <si>
    <t>癌症手術</t>
    <phoneticPr fontId="1" type="noConversion"/>
  </si>
  <si>
    <t xml:space="preserve"> [理賠含併發症與新癌症]</t>
    <phoneticPr fontId="1" type="noConversion"/>
  </si>
  <si>
    <t>[重大傷病卡型，只要核發重大傷病卡則理賠]</t>
  </si>
  <si>
    <t>失能扶助每月</t>
    <phoneticPr fontId="1" type="noConversion"/>
  </si>
  <si>
    <t>[意外部分給付有次數限制]</t>
    <phoneticPr fontId="1" type="noConversion"/>
  </si>
  <si>
    <t>[給付最多50年或到85歲]</t>
    <phoneticPr fontId="1" type="noConversion"/>
  </si>
  <si>
    <t>JOEBBC</t>
    <phoneticPr fontId="1" type="noConversion"/>
  </si>
  <si>
    <t>[給付最多20年]</t>
    <phoneticPr fontId="1" type="noConversion"/>
  </si>
  <si>
    <t>[最多給付16年]</t>
    <phoneticPr fontId="1" type="noConversion"/>
  </si>
  <si>
    <t>備註：敘述也要複製貼上</t>
    <phoneticPr fontId="1" type="noConversion"/>
  </si>
  <si>
    <t>LEGOCG</t>
    <phoneticPr fontId="1" type="noConversion"/>
  </si>
  <si>
    <t>LEGOAE</t>
    <phoneticPr fontId="1" type="noConversion"/>
  </si>
  <si>
    <t>MSCN</t>
    <phoneticPr fontId="1" type="noConversion"/>
  </si>
  <si>
    <t>LEGOHF</t>
    <phoneticPr fontId="1" type="noConversion"/>
  </si>
  <si>
    <t>MAJIMB</t>
    <phoneticPr fontId="1" type="noConversion"/>
  </si>
  <si>
    <t>[手術險最高理賠80倍，另有老年重大手術1.5倍給付]</t>
    <phoneticPr fontId="1" type="noConversion"/>
  </si>
  <si>
    <t>[手術險最高理賠80倍，另有老年重大手術1.5倍給付][處置亦有理賠]</t>
    <phoneticPr fontId="1" type="noConversion"/>
  </si>
  <si>
    <t>MAJISA</t>
    <phoneticPr fontId="1" type="noConversion"/>
  </si>
  <si>
    <t>[乘以給付比率 30% - 800%]</t>
    <phoneticPr fontId="1" type="noConversion"/>
  </si>
  <si>
    <t>MAJIEA</t>
    <phoneticPr fontId="1" type="noConversion"/>
  </si>
  <si>
    <t>[重大傷病及特定疾病混合型，重大傷病證明或符合特定疾病定義皆有理賠]</t>
    <phoneticPr fontId="1" type="noConversion"/>
  </si>
  <si>
    <t>[原位癌及輕度癌症亦按比例理賠]</t>
    <phoneticPr fontId="1" type="noConversion"/>
  </si>
  <si>
    <t>[門診手術最高8倍、特定處置最高4倍]</t>
    <phoneticPr fontId="1" type="noConversion"/>
  </si>
  <si>
    <t>[實支實付；高貴醫材藥材、標靶藥物，保險公司買單][住院期間曾住加護病房，額度加倍]</t>
    <phoneticPr fontId="1" type="noConversion"/>
  </si>
  <si>
    <t>OCH</t>
    <phoneticPr fontId="1" type="noConversion"/>
  </si>
  <si>
    <t>[融通給付]</t>
    <phoneticPr fontId="1" type="noConversion"/>
  </si>
  <si>
    <t>[最多給付15年]</t>
    <phoneticPr fontId="1" type="noConversion"/>
  </si>
  <si>
    <t>[終身醫療另有身故還本金]</t>
    <phoneticPr fontId="1" type="noConversion"/>
  </si>
  <si>
    <t>[乘以給付比率，最高80倍][特定處置、創傷縫合有賠]</t>
    <phoneticPr fontId="1" type="noConversion"/>
  </si>
  <si>
    <t>[乘以給付比率，最高80倍，另有手術看護金、重大手術慰問金、特定醫材補助金]</t>
    <phoneticPr fontId="1" type="noConversion"/>
  </si>
  <si>
    <t>[五項特定傷病]</t>
    <phoneticPr fontId="1" type="noConversion"/>
  </si>
  <si>
    <t>MAJIUA</t>
    <phoneticPr fontId="1" type="noConversion"/>
  </si>
  <si>
    <t>[手術險乘以給付比率，最高80倍，特定處置有賠]</t>
    <phoneticPr fontId="1" type="noConversion"/>
  </si>
  <si>
    <t>MAJIWA</t>
    <phoneticPr fontId="1" type="noConversion"/>
  </si>
  <si>
    <t>心超1</t>
    <phoneticPr fontId="1" type="noConversion"/>
  </si>
  <si>
    <t>[費用與雜費共用]</t>
    <phoneticPr fontId="1" type="noConversion"/>
  </si>
  <si>
    <t>[實支實付與定額給付，擇優給付，另有住院關懷金1,100]</t>
    <phoneticPr fontId="1" type="noConversion"/>
  </si>
  <si>
    <t>[另有特定處置保險金15,000]</t>
    <phoneticPr fontId="1" type="noConversion"/>
  </si>
  <si>
    <t>MAHUGA</t>
    <phoneticPr fontId="1" type="noConversion"/>
  </si>
  <si>
    <t>[實支實付與定額給付，擇優給付，另有住院關懷金]</t>
    <phoneticPr fontId="1" type="noConversion"/>
  </si>
  <si>
    <t>LEGOTA</t>
    <phoneticPr fontId="1" type="noConversion"/>
  </si>
  <si>
    <t>[自付額15,000]</t>
    <phoneticPr fontId="1" type="noConversion"/>
  </si>
  <si>
    <t>[實支實付日額，需扣自付額500]</t>
    <phoneticPr fontId="1" type="noConversion"/>
  </si>
  <si>
    <t>[費用與雜費共用，需扣自付額50,000]</t>
    <phoneticPr fontId="1" type="noConversion"/>
  </si>
  <si>
    <t>MAHUIA</t>
    <phoneticPr fontId="1" type="noConversion"/>
  </si>
  <si>
    <t>MAHUAB</t>
    <phoneticPr fontId="1" type="noConversion"/>
  </si>
  <si>
    <t>MAJIYB</t>
    <phoneticPr fontId="1" type="noConversion"/>
  </si>
  <si>
    <t>MAHUHA</t>
    <phoneticPr fontId="1" type="noConversion"/>
  </si>
  <si>
    <t>YDDR</t>
    <phoneticPr fontId="1" type="noConversion"/>
  </si>
  <si>
    <t>KHLR</t>
    <phoneticPr fontId="1" type="noConversion"/>
  </si>
  <si>
    <t>AADDC</t>
    <phoneticPr fontId="1" type="noConversion"/>
  </si>
  <si>
    <t>[另有照護金，最給付多五年]</t>
    <phoneticPr fontId="1" type="noConversion"/>
  </si>
  <si>
    <t>MAHUGA1</t>
    <phoneticPr fontId="1" type="noConversion"/>
  </si>
  <si>
    <t>AAHOP</t>
    <phoneticPr fontId="1" type="noConversion"/>
  </si>
  <si>
    <t>商品代碼</t>
  </si>
  <si>
    <t>基準數</t>
  </si>
  <si>
    <t>住院日額合計</t>
  </si>
  <si>
    <t>加護病房合計</t>
  </si>
  <si>
    <t>住院手術定額</t>
  </si>
  <si>
    <t>住院手術實支實付</t>
  </si>
  <si>
    <t>住院手術看護</t>
  </si>
  <si>
    <t>門診手術定額</t>
  </si>
  <si>
    <t>門診手術實支實付</t>
  </si>
  <si>
    <t>住院雜費下限</t>
  </si>
  <si>
    <t>住院雜費上限</t>
  </si>
  <si>
    <t>意外住院日額合計</t>
  </si>
  <si>
    <t>意外加護病房合計</t>
  </si>
  <si>
    <t>意外住院手術定額</t>
  </si>
  <si>
    <t>意外門診手術定額</t>
  </si>
  <si>
    <t>住院前後門診</t>
  </si>
  <si>
    <t>骨折未住院</t>
  </si>
  <si>
    <t>意外雜費</t>
  </si>
  <si>
    <t>意外身故傷殘</t>
  </si>
  <si>
    <t>初次罹癌</t>
  </si>
  <si>
    <t>癌症身故</t>
  </si>
  <si>
    <t>癌症住院日額</t>
  </si>
  <si>
    <t>癌症加護病房</t>
  </si>
  <si>
    <t>癌症住院手術定額</t>
  </si>
  <si>
    <t>癌症門診</t>
  </si>
  <si>
    <t>癌症放化療</t>
  </si>
  <si>
    <t>骨髓移植</t>
  </si>
  <si>
    <t>重大疾病一次</t>
  </si>
  <si>
    <t>長照疾病一次</t>
  </si>
  <si>
    <t>長照意外一次</t>
  </si>
  <si>
    <t>疾病認知障礙每月</t>
  </si>
  <si>
    <t>意外認知障礙每月</t>
  </si>
  <si>
    <t>疾病特傷每月</t>
  </si>
  <si>
    <t>意外特傷每月</t>
  </si>
  <si>
    <t>疾病1-3每月</t>
  </si>
  <si>
    <t>意外1-3每月</t>
  </si>
  <si>
    <t>疾病4-6每月</t>
  </si>
  <si>
    <t>意外4-6每月</t>
  </si>
  <si>
    <t>疾病長照狀態每月</t>
  </si>
  <si>
    <t>意外長照狀態每月</t>
  </si>
  <si>
    <t>GNHRL</t>
  </si>
  <si>
    <t>LEGOCF</t>
  </si>
  <si>
    <t>LEGOAD</t>
  </si>
  <si>
    <t>LEGOHE</t>
  </si>
  <si>
    <t>LEGOEF</t>
  </si>
  <si>
    <t>LSCN</t>
  </si>
  <si>
    <t>LEGONC</t>
  </si>
  <si>
    <t>LEGOUC</t>
  </si>
  <si>
    <t>JOEBAA</t>
  </si>
  <si>
    <t>JOEBDA</t>
  </si>
  <si>
    <t>LEGOYC</t>
  </si>
  <si>
    <t>FCTR</t>
  </si>
  <si>
    <t>KDDR</t>
  </si>
  <si>
    <t>LEGOIC</t>
  </si>
  <si>
    <t>DPAA</t>
  </si>
  <si>
    <t>MT</t>
  </si>
  <si>
    <t>ML</t>
  </si>
  <si>
    <t>APAED</t>
  </si>
  <si>
    <t>IHLR</t>
  </si>
  <si>
    <t>YDDR</t>
  </si>
  <si>
    <t>LEGOBD</t>
  </si>
  <si>
    <t>LEGORA</t>
  </si>
  <si>
    <t>LEGOQA</t>
  </si>
  <si>
    <t>LEGOWA</t>
  </si>
  <si>
    <t>MAJIAA</t>
  </si>
  <si>
    <t>LEGOXB</t>
  </si>
  <si>
    <t>JOEBBC</t>
  </si>
  <si>
    <t>MAJIQA</t>
  </si>
  <si>
    <t>XDDR</t>
  </si>
  <si>
    <t>KHLR</t>
  </si>
  <si>
    <t>EPAA</t>
  </si>
  <si>
    <t>LEGOCG</t>
  </si>
  <si>
    <t>LEGOAE</t>
  </si>
  <si>
    <t>MSCN</t>
  </si>
  <si>
    <t>LEGOHF</t>
  </si>
  <si>
    <t>MAJIMB</t>
  </si>
  <si>
    <t>MAJISA</t>
  </si>
  <si>
    <t>MAJIEA</t>
  </si>
  <si>
    <t>MAJIXA</t>
  </si>
  <si>
    <t>OCH</t>
  </si>
  <si>
    <t>MAJIYB</t>
  </si>
  <si>
    <t>MAHUAB</t>
  </si>
  <si>
    <t>MAJIUA</t>
  </si>
  <si>
    <t>MAJIWA</t>
  </si>
  <si>
    <t>心超1</t>
  </si>
  <si>
    <t>MTA</t>
  </si>
  <si>
    <t>MAHUEA</t>
  </si>
  <si>
    <t>MAHUGA</t>
  </si>
  <si>
    <t>LEGOTA</t>
  </si>
  <si>
    <t>MAHUIA</t>
  </si>
  <si>
    <t>MAHUHA</t>
  </si>
  <si>
    <t>AADDC</t>
  </si>
  <si>
    <t>ABDDC</t>
  </si>
  <si>
    <t>MAHUJA</t>
  </si>
  <si>
    <t>MAHUGA1</t>
  </si>
  <si>
    <t>AAHSR</t>
  </si>
  <si>
    <t>AAHOP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</si>
</sst>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rgb="FFFF0000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3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4" xfId="0" applyFont="1" applyBorder="1">
      <alignment vertical="center"/>
    </xf>
    <xf numFmtId="0" fontId="2" fillId="2" borderId="0" xfId="0" applyFont="1" applyFill="1">
      <alignment vertical="center"/>
    </xf>
    <xf numFmtId="0" fontId="3" fillId="3" borderId="1" xfId="0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0" borderId="0" xfId="0" applyFont="1" applyAlignment="1">
      <alignment horizontal="center" vertical="center"/>
    </xf>
    <xf numFmtId="0" fontId="3" fillId="3" borderId="7" xfId="0" applyFont="1" applyFill="1" applyBorder="1" applyAlignment="1">
      <alignment horizontal="center" vertical="center" wrapText="1"/>
    </xf>
    <xf numFmtId="0" fontId="2" fillId="0" borderId="5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5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</cellXfs>
  <cellStyles count="2">
    <cellStyle name="一般" xfId="0" builtinId="0"/>
    <cellStyle name="一般 2" xfId="1" xr:uid="{B5E5DD83-CA46-B944-BF0A-A1E290A11E89}"/>
  </cellStyles>
  <dxfs count="0"/>
  <tableStyles count="0" defaultTableStyle="TableStyleMedium2" defaultPivotStyle="PivotStyleLight16"/>
  <colors>
    <mruColors>
      <color rgb="FFFF8AD8"/>
      <color rgb="FFFF7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C3699-2B79-A948-8297-4386F4E03C07}">
  <dimension ref="A1:AN60"/>
  <sheetViews>
    <sheetView tabSelected="1" workbookViewId="0">
      <selection activeCell="C3" sqref="C3"/>
    </sheetView>
  </sheetViews>
  <sheetFormatPr baseColWidth="10" defaultRowHeight="15"/>
  <sheetData>
    <row r="1" spans="1:40">
      <c r="A1" t="s">
        <v>112</v>
      </c>
      <c r="B1" t="s">
        <v>113</v>
      </c>
      <c r="C1" t="s">
        <v>114</v>
      </c>
      <c r="D1" t="s">
        <v>115</v>
      </c>
      <c r="E1" t="s">
        <v>116</v>
      </c>
      <c r="F1" t="s">
        <v>117</v>
      </c>
      <c r="G1" t="s">
        <v>118</v>
      </c>
      <c r="H1" t="s">
        <v>119</v>
      </c>
      <c r="I1" t="s">
        <v>120</v>
      </c>
      <c r="J1" t="s">
        <v>121</v>
      </c>
      <c r="K1" t="s">
        <v>122</v>
      </c>
      <c r="L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137</v>
      </c>
      <c r="AA1" t="s">
        <v>138</v>
      </c>
      <c r="AB1" t="s">
        <v>139</v>
      </c>
      <c r="AC1" t="s">
        <v>140</v>
      </c>
      <c r="AD1" t="s">
        <v>141</v>
      </c>
      <c r="AE1" t="s">
        <v>142</v>
      </c>
      <c r="AF1" t="s">
        <v>143</v>
      </c>
      <c r="AG1" t="s">
        <v>144</v>
      </c>
      <c r="AH1" t="s">
        <v>145</v>
      </c>
      <c r="AI1" t="s">
        <v>146</v>
      </c>
      <c r="AJ1" t="s">
        <v>147</v>
      </c>
      <c r="AK1" t="s">
        <v>148</v>
      </c>
      <c r="AL1" t="s">
        <v>149</v>
      </c>
      <c r="AM1" t="s">
        <v>150</v>
      </c>
      <c r="AN1" t="s">
        <v>151</v>
      </c>
    </row>
    <row r="2" spans="1:40">
      <c r="A2" t="s">
        <v>152</v>
      </c>
      <c r="B2">
        <v>5</v>
      </c>
      <c r="C2">
        <v>100</v>
      </c>
      <c r="D2">
        <v>300</v>
      </c>
      <c r="E2">
        <v>1000</v>
      </c>
      <c r="F2">
        <v>0</v>
      </c>
      <c r="G2">
        <v>500</v>
      </c>
      <c r="H2">
        <v>300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</row>
    <row r="3" spans="1:40">
      <c r="A3" t="s">
        <v>153</v>
      </c>
      <c r="B3">
        <v>500</v>
      </c>
      <c r="C3">
        <v>1</v>
      </c>
      <c r="D3">
        <v>2</v>
      </c>
      <c r="E3">
        <v>1</v>
      </c>
      <c r="F3">
        <v>0</v>
      </c>
      <c r="G3">
        <v>0</v>
      </c>
      <c r="H3">
        <v>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</row>
    <row r="4" spans="1:40">
      <c r="A4" t="s">
        <v>154</v>
      </c>
      <c r="B4">
        <v>500</v>
      </c>
      <c r="C4">
        <v>1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</row>
    <row r="5" spans="1:40">
      <c r="A5" t="s">
        <v>155</v>
      </c>
      <c r="B5">
        <v>12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1</v>
      </c>
      <c r="AD5">
        <v>1</v>
      </c>
      <c r="AE5">
        <v>8.3333333333333329E-2</v>
      </c>
      <c r="AF5">
        <v>8.3333333333333329E-2</v>
      </c>
      <c r="AG5">
        <v>0</v>
      </c>
      <c r="AH5">
        <v>0</v>
      </c>
      <c r="AI5">
        <v>0</v>
      </c>
      <c r="AJ5">
        <v>8.3333333333333329E-2</v>
      </c>
      <c r="AK5">
        <v>0</v>
      </c>
      <c r="AL5">
        <v>0</v>
      </c>
      <c r="AM5">
        <v>8.3333333333333329E-2</v>
      </c>
      <c r="AN5">
        <v>8.3333333333333329E-2</v>
      </c>
    </row>
    <row r="6" spans="1:40">
      <c r="A6" t="s">
        <v>156</v>
      </c>
      <c r="B6">
        <v>50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0.25</v>
      </c>
      <c r="AD6">
        <v>0</v>
      </c>
      <c r="AE6">
        <v>0</v>
      </c>
      <c r="AF6">
        <v>0</v>
      </c>
      <c r="AG6">
        <v>2.0833999999999998E-2</v>
      </c>
      <c r="AH6">
        <v>2.0833999999999998E-2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</row>
    <row r="7" spans="1:40">
      <c r="A7" t="s">
        <v>157</v>
      </c>
      <c r="B7">
        <v>1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50000</v>
      </c>
      <c r="U7">
        <v>150000</v>
      </c>
      <c r="V7">
        <v>1750</v>
      </c>
      <c r="W7">
        <v>1750</v>
      </c>
      <c r="X7">
        <v>15000</v>
      </c>
      <c r="Y7">
        <v>500</v>
      </c>
      <c r="Z7">
        <v>500</v>
      </c>
      <c r="AA7">
        <v>50000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</row>
    <row r="8" spans="1:40">
      <c r="A8" t="s">
        <v>158</v>
      </c>
      <c r="B8">
        <v>100000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1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</row>
    <row r="9" spans="1:40">
      <c r="A9" t="s">
        <v>159</v>
      </c>
      <c r="B9">
        <v>100000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1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</row>
    <row r="10" spans="1:40">
      <c r="A10" t="s">
        <v>160</v>
      </c>
      <c r="B10">
        <v>500000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</row>
    <row r="11" spans="1:40">
      <c r="A11" t="s">
        <v>161</v>
      </c>
      <c r="B11">
        <v>500000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1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</row>
    <row r="12" spans="1:40">
      <c r="A12" t="s">
        <v>162</v>
      </c>
      <c r="B12">
        <v>5000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10</v>
      </c>
      <c r="AD12">
        <v>0</v>
      </c>
      <c r="AE12">
        <v>0</v>
      </c>
      <c r="AF12">
        <v>0</v>
      </c>
      <c r="AG12">
        <v>1.2</v>
      </c>
      <c r="AH12">
        <v>1.2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</row>
    <row r="13" spans="1:40">
      <c r="A13" t="s">
        <v>163</v>
      </c>
      <c r="B13">
        <v>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750</v>
      </c>
      <c r="W13">
        <v>750</v>
      </c>
      <c r="X13">
        <v>7500</v>
      </c>
      <c r="Y13">
        <v>250</v>
      </c>
      <c r="Z13">
        <v>750</v>
      </c>
      <c r="AA13">
        <v>25000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</row>
    <row r="14" spans="1:40">
      <c r="A14" t="s">
        <v>164</v>
      </c>
      <c r="B14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5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</row>
    <row r="15" spans="1:40">
      <c r="A15" t="s">
        <v>165</v>
      </c>
      <c r="B15">
        <v>500000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0.25</v>
      </c>
      <c r="AD15">
        <v>0</v>
      </c>
      <c r="AE15">
        <v>0</v>
      </c>
      <c r="AF15">
        <v>0</v>
      </c>
      <c r="AG15">
        <v>2.0833999999999998E-2</v>
      </c>
      <c r="AH15">
        <v>2.0833999999999998E-2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</row>
    <row r="16" spans="1:40">
      <c r="A16" t="s">
        <v>166</v>
      </c>
      <c r="B16">
        <v>1000000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1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</row>
    <row r="17" spans="1:40">
      <c r="A17" t="s">
        <v>167</v>
      </c>
      <c r="B17">
        <v>100000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</row>
    <row r="18" spans="1:40">
      <c r="A18" t="s">
        <v>168</v>
      </c>
      <c r="B18">
        <v>10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100</v>
      </c>
      <c r="M18">
        <v>200</v>
      </c>
      <c r="N18">
        <v>2000</v>
      </c>
      <c r="O18">
        <v>0</v>
      </c>
      <c r="P18">
        <v>50</v>
      </c>
      <c r="Q18">
        <v>50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</row>
    <row r="19" spans="1:40">
      <c r="A19" t="s">
        <v>169</v>
      </c>
      <c r="B19">
        <v>3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8333.3333333333339</v>
      </c>
      <c r="AK19">
        <v>0</v>
      </c>
      <c r="AL19">
        <v>5833.333333333333</v>
      </c>
      <c r="AM19">
        <v>0</v>
      </c>
      <c r="AN19">
        <v>0</v>
      </c>
    </row>
    <row r="20" spans="1:40">
      <c r="A20" t="s">
        <v>170</v>
      </c>
      <c r="B20">
        <v>5</v>
      </c>
      <c r="C20">
        <v>100</v>
      </c>
      <c r="D20">
        <v>200</v>
      </c>
      <c r="E20">
        <v>2000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</row>
    <row r="21" spans="1:40">
      <c r="A21" t="s">
        <v>171</v>
      </c>
      <c r="B21">
        <v>50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1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1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</row>
    <row r="22" spans="1:40">
      <c r="A22" t="s">
        <v>172</v>
      </c>
      <c r="B22">
        <v>500</v>
      </c>
      <c r="C22">
        <v>0</v>
      </c>
      <c r="D22">
        <v>0</v>
      </c>
      <c r="E22">
        <v>10</v>
      </c>
      <c r="F22">
        <v>0</v>
      </c>
      <c r="G22">
        <v>0</v>
      </c>
      <c r="H22">
        <v>1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</row>
    <row r="23" spans="1:40">
      <c r="A23" t="s">
        <v>173</v>
      </c>
      <c r="B23">
        <v>1</v>
      </c>
      <c r="C23">
        <v>500</v>
      </c>
      <c r="D23">
        <v>1000</v>
      </c>
      <c r="E23">
        <v>0</v>
      </c>
      <c r="F23">
        <v>15000</v>
      </c>
      <c r="G23">
        <v>0</v>
      </c>
      <c r="H23">
        <v>0</v>
      </c>
      <c r="I23">
        <v>15000</v>
      </c>
      <c r="J23">
        <v>50000</v>
      </c>
      <c r="K23">
        <v>150000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</row>
    <row r="24" spans="1:40">
      <c r="A24" t="s">
        <v>174</v>
      </c>
      <c r="B24">
        <v>500</v>
      </c>
      <c r="C24">
        <v>1.5</v>
      </c>
      <c r="D24">
        <v>3.5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</row>
    <row r="25" spans="1:40">
      <c r="A25" t="s">
        <v>175</v>
      </c>
      <c r="B25">
        <v>100000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1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1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</row>
    <row r="26" spans="1:40">
      <c r="A26" t="s">
        <v>176</v>
      </c>
      <c r="B26">
        <v>100000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1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1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</row>
    <row r="27" spans="1:40">
      <c r="A27" t="s">
        <v>177</v>
      </c>
      <c r="B27">
        <v>10000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25</v>
      </c>
      <c r="AD27">
        <v>50</v>
      </c>
      <c r="AE27">
        <v>0</v>
      </c>
      <c r="AF27">
        <v>0</v>
      </c>
      <c r="AG27">
        <v>0</v>
      </c>
      <c r="AH27">
        <v>0</v>
      </c>
      <c r="AI27">
        <v>1</v>
      </c>
      <c r="AJ27">
        <v>1.5</v>
      </c>
      <c r="AK27">
        <v>1</v>
      </c>
      <c r="AL27">
        <v>1.5</v>
      </c>
      <c r="AM27">
        <v>0</v>
      </c>
      <c r="AN27">
        <v>0</v>
      </c>
    </row>
    <row r="28" spans="1:40">
      <c r="A28" t="s">
        <v>178</v>
      </c>
      <c r="B28">
        <v>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12</v>
      </c>
      <c r="AD28">
        <v>24</v>
      </c>
      <c r="AE28">
        <v>0</v>
      </c>
      <c r="AF28">
        <v>0</v>
      </c>
      <c r="AG28">
        <v>0</v>
      </c>
      <c r="AH28">
        <v>0</v>
      </c>
      <c r="AI28">
        <v>1</v>
      </c>
      <c r="AJ28">
        <v>2</v>
      </c>
      <c r="AK28">
        <v>1</v>
      </c>
      <c r="AL28">
        <v>2</v>
      </c>
      <c r="AM28">
        <v>0</v>
      </c>
      <c r="AN28">
        <v>0</v>
      </c>
    </row>
    <row r="29" spans="1:40">
      <c r="A29" t="s">
        <v>179</v>
      </c>
      <c r="B29">
        <v>1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750</v>
      </c>
      <c r="W29">
        <v>750</v>
      </c>
      <c r="X29">
        <v>7500</v>
      </c>
      <c r="Y29">
        <v>250</v>
      </c>
      <c r="Z29">
        <v>250</v>
      </c>
      <c r="AA29">
        <v>25000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</row>
    <row r="30" spans="1:40">
      <c r="A30" t="s">
        <v>152</v>
      </c>
      <c r="B30">
        <v>5</v>
      </c>
      <c r="C30">
        <v>100</v>
      </c>
      <c r="D30">
        <v>300</v>
      </c>
      <c r="E30">
        <v>1000</v>
      </c>
      <c r="F30">
        <v>0</v>
      </c>
      <c r="G30">
        <v>500</v>
      </c>
      <c r="H30">
        <v>300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</row>
    <row r="31" spans="1:40">
      <c r="A31" t="s">
        <v>180</v>
      </c>
      <c r="B31">
        <v>500000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1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1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</row>
    <row r="32" spans="1:40">
      <c r="A32" t="s">
        <v>181</v>
      </c>
      <c r="B32">
        <v>5</v>
      </c>
      <c r="C32">
        <v>100</v>
      </c>
      <c r="D32">
        <v>200</v>
      </c>
      <c r="E32">
        <v>2000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</row>
    <row r="33" spans="1:40">
      <c r="A33" t="s">
        <v>182</v>
      </c>
      <c r="B33">
        <v>1000000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1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</row>
    <row r="34" spans="1:40">
      <c r="A34" t="s">
        <v>183</v>
      </c>
      <c r="B34">
        <v>500</v>
      </c>
      <c r="C34">
        <v>1</v>
      </c>
      <c r="D34">
        <v>2</v>
      </c>
      <c r="E34">
        <v>1</v>
      </c>
      <c r="F34">
        <v>0</v>
      </c>
      <c r="G34">
        <v>0</v>
      </c>
      <c r="H34">
        <v>1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</row>
    <row r="35" spans="1:40">
      <c r="A35" t="s">
        <v>184</v>
      </c>
      <c r="B35">
        <v>500</v>
      </c>
      <c r="C35">
        <v>1</v>
      </c>
      <c r="D35">
        <v>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</row>
    <row r="36" spans="1:40">
      <c r="A36" t="s">
        <v>185</v>
      </c>
      <c r="B36">
        <v>1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50000</v>
      </c>
      <c r="U36">
        <v>150000</v>
      </c>
      <c r="V36">
        <v>1750</v>
      </c>
      <c r="W36">
        <v>1750</v>
      </c>
      <c r="X36">
        <v>15000</v>
      </c>
      <c r="Y36">
        <v>500</v>
      </c>
      <c r="Z36">
        <v>500</v>
      </c>
      <c r="AA36">
        <v>50000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</row>
    <row r="37" spans="1:40">
      <c r="A37" t="s">
        <v>186</v>
      </c>
      <c r="B37">
        <v>12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1</v>
      </c>
      <c r="AD37">
        <v>1</v>
      </c>
      <c r="AE37">
        <v>8.3333333333333329E-2</v>
      </c>
      <c r="AF37">
        <v>8.3333333333333329E-2</v>
      </c>
      <c r="AG37">
        <v>0</v>
      </c>
      <c r="AH37">
        <v>0</v>
      </c>
      <c r="AI37">
        <v>0</v>
      </c>
      <c r="AJ37">
        <v>8.3333333333333329E-2</v>
      </c>
      <c r="AK37">
        <v>0</v>
      </c>
      <c r="AL37">
        <v>0</v>
      </c>
      <c r="AM37">
        <v>8.3333333333333329E-2</v>
      </c>
      <c r="AN37">
        <v>8.3333333333333329E-2</v>
      </c>
    </row>
    <row r="38" spans="1:40">
      <c r="A38" t="s">
        <v>187</v>
      </c>
      <c r="B38">
        <v>500</v>
      </c>
      <c r="C38">
        <v>0</v>
      </c>
      <c r="D38">
        <v>0</v>
      </c>
      <c r="E38">
        <v>1</v>
      </c>
      <c r="F38">
        <v>0</v>
      </c>
      <c r="G38">
        <v>0</v>
      </c>
      <c r="H38">
        <v>1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</row>
    <row r="39" spans="1:40">
      <c r="A39" t="s">
        <v>188</v>
      </c>
      <c r="B39">
        <v>1</v>
      </c>
      <c r="C39">
        <v>1000</v>
      </c>
      <c r="D39">
        <v>2000</v>
      </c>
      <c r="E39">
        <v>0</v>
      </c>
      <c r="F39">
        <v>20000</v>
      </c>
      <c r="G39">
        <v>0</v>
      </c>
      <c r="H39">
        <v>0</v>
      </c>
      <c r="I39">
        <v>13333.333333333334</v>
      </c>
      <c r="J39">
        <v>116666.66666666667</v>
      </c>
      <c r="K39">
        <v>233333.33333333334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</row>
    <row r="40" spans="1:40">
      <c r="A40" t="s">
        <v>189</v>
      </c>
      <c r="B40">
        <v>500000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1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</row>
    <row r="41" spans="1:40">
      <c r="A41" t="s">
        <v>190</v>
      </c>
      <c r="B41">
        <v>500000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1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</row>
    <row r="42" spans="1:40">
      <c r="A42" t="s">
        <v>191</v>
      </c>
      <c r="B42">
        <v>30</v>
      </c>
      <c r="C42">
        <v>100</v>
      </c>
      <c r="D42">
        <v>100</v>
      </c>
      <c r="E42">
        <v>0</v>
      </c>
      <c r="F42">
        <v>3000</v>
      </c>
      <c r="G42">
        <v>0</v>
      </c>
      <c r="H42">
        <v>0</v>
      </c>
      <c r="I42">
        <v>3000</v>
      </c>
      <c r="J42">
        <v>6000</v>
      </c>
      <c r="K42">
        <v>30000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</row>
    <row r="43" spans="1:40">
      <c r="A43" t="s">
        <v>186</v>
      </c>
      <c r="B43">
        <v>12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1</v>
      </c>
      <c r="AD43">
        <v>1</v>
      </c>
      <c r="AE43">
        <v>8.3333333333333329E-2</v>
      </c>
      <c r="AF43">
        <v>8.3333333333333329E-2</v>
      </c>
      <c r="AG43">
        <v>0</v>
      </c>
      <c r="AH43">
        <v>0</v>
      </c>
      <c r="AI43">
        <v>0</v>
      </c>
      <c r="AJ43">
        <v>8.3333333333333329E-2</v>
      </c>
      <c r="AK43">
        <v>0</v>
      </c>
      <c r="AL43">
        <v>0</v>
      </c>
      <c r="AM43">
        <v>8.3333333333333329E-2</v>
      </c>
      <c r="AN43">
        <v>8.3333333333333329E-2</v>
      </c>
    </row>
    <row r="44" spans="1:40">
      <c r="A44" t="s">
        <v>192</v>
      </c>
      <c r="B44">
        <v>10000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6</v>
      </c>
      <c r="AD44">
        <v>6</v>
      </c>
      <c r="AE44">
        <v>1</v>
      </c>
      <c r="AF44">
        <v>1</v>
      </c>
      <c r="AG44">
        <v>0</v>
      </c>
      <c r="AH44">
        <v>0</v>
      </c>
      <c r="AI44">
        <v>0</v>
      </c>
      <c r="AJ44">
        <v>1</v>
      </c>
      <c r="AK44">
        <v>0</v>
      </c>
      <c r="AL44">
        <v>0</v>
      </c>
      <c r="AM44">
        <v>1</v>
      </c>
      <c r="AN44">
        <v>1</v>
      </c>
    </row>
    <row r="45" spans="1:40">
      <c r="A45" t="s">
        <v>193</v>
      </c>
      <c r="B45">
        <v>500</v>
      </c>
      <c r="C45">
        <v>1</v>
      </c>
      <c r="D45">
        <v>3</v>
      </c>
      <c r="E45">
        <v>1</v>
      </c>
      <c r="F45">
        <v>0</v>
      </c>
      <c r="G45">
        <v>5</v>
      </c>
      <c r="H45">
        <v>1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-50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50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</row>
    <row r="46" spans="1:40">
      <c r="A46" t="s">
        <v>194</v>
      </c>
      <c r="B46">
        <v>1000</v>
      </c>
      <c r="C46">
        <v>0</v>
      </c>
      <c r="D46">
        <v>0</v>
      </c>
      <c r="E46">
        <v>1</v>
      </c>
      <c r="F46">
        <v>0</v>
      </c>
      <c r="G46">
        <v>0</v>
      </c>
      <c r="H46">
        <v>1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</row>
    <row r="47" spans="1:40">
      <c r="A47" t="s">
        <v>195</v>
      </c>
      <c r="B47">
        <v>1000</v>
      </c>
      <c r="C47">
        <v>0</v>
      </c>
      <c r="D47">
        <v>0</v>
      </c>
      <c r="E47">
        <v>1</v>
      </c>
      <c r="F47">
        <v>0</v>
      </c>
      <c r="G47">
        <v>0</v>
      </c>
      <c r="H47">
        <v>1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</row>
    <row r="48" spans="1:40">
      <c r="A48" t="s">
        <v>196</v>
      </c>
      <c r="B48">
        <v>1</v>
      </c>
      <c r="C48">
        <v>3000</v>
      </c>
      <c r="D48">
        <v>4000</v>
      </c>
      <c r="E48">
        <v>0</v>
      </c>
      <c r="F48">
        <v>300000</v>
      </c>
      <c r="G48">
        <v>0</v>
      </c>
      <c r="H48">
        <v>0</v>
      </c>
      <c r="I48">
        <v>30000</v>
      </c>
      <c r="J48">
        <v>300000</v>
      </c>
      <c r="K48">
        <v>400000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</row>
    <row r="49" spans="1:40">
      <c r="A49" t="s">
        <v>197</v>
      </c>
      <c r="B49">
        <v>100000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1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</row>
    <row r="50" spans="1:40">
      <c r="A50" t="s">
        <v>198</v>
      </c>
      <c r="B50">
        <v>500000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1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</row>
    <row r="51" spans="1:40">
      <c r="A51" t="s">
        <v>199</v>
      </c>
      <c r="B51">
        <v>1</v>
      </c>
      <c r="C51">
        <v>1000</v>
      </c>
      <c r="D51">
        <v>2000</v>
      </c>
      <c r="E51">
        <v>0</v>
      </c>
      <c r="F51">
        <v>100000</v>
      </c>
      <c r="G51">
        <v>0</v>
      </c>
      <c r="H51">
        <v>0</v>
      </c>
      <c r="I51">
        <v>15000</v>
      </c>
      <c r="J51">
        <v>100000</v>
      </c>
      <c r="K51">
        <v>200000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</row>
    <row r="52" spans="1:40">
      <c r="A52" t="s">
        <v>200</v>
      </c>
      <c r="B52">
        <v>1</v>
      </c>
      <c r="C52">
        <v>3000</v>
      </c>
      <c r="D52">
        <v>3000</v>
      </c>
      <c r="E52">
        <v>0</v>
      </c>
      <c r="F52">
        <v>300000</v>
      </c>
      <c r="G52">
        <v>0</v>
      </c>
      <c r="H52">
        <v>0</v>
      </c>
      <c r="I52">
        <v>30000</v>
      </c>
      <c r="J52">
        <v>300000</v>
      </c>
      <c r="K52">
        <v>300000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</row>
    <row r="53" spans="1:40">
      <c r="A53" t="s">
        <v>201</v>
      </c>
      <c r="B53">
        <v>1000</v>
      </c>
      <c r="C53">
        <v>0</v>
      </c>
      <c r="D53">
        <v>0</v>
      </c>
      <c r="E53">
        <v>1</v>
      </c>
      <c r="F53">
        <v>0</v>
      </c>
      <c r="G53">
        <v>0</v>
      </c>
      <c r="H53">
        <v>1</v>
      </c>
    </row>
    <row r="54" spans="1:40">
      <c r="A54" t="s">
        <v>202</v>
      </c>
      <c r="B54">
        <v>10000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8</v>
      </c>
      <c r="AD54">
        <v>8</v>
      </c>
      <c r="AE54">
        <v>1</v>
      </c>
      <c r="AF54">
        <v>1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1</v>
      </c>
      <c r="AN54">
        <v>1</v>
      </c>
    </row>
    <row r="55" spans="1:40">
      <c r="A55" t="s">
        <v>203</v>
      </c>
      <c r="B55">
        <v>10000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20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</row>
    <row r="56" spans="1:40">
      <c r="A56" t="s">
        <v>204</v>
      </c>
      <c r="B56">
        <v>10000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20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</row>
    <row r="57" spans="1:40">
      <c r="A57" t="s">
        <v>205</v>
      </c>
      <c r="B57">
        <v>1000000</v>
      </c>
      <c r="S57">
        <v>1</v>
      </c>
      <c r="AD57">
        <v>1</v>
      </c>
      <c r="AF57">
        <v>0.03</v>
      </c>
      <c r="AH57">
        <v>0</v>
      </c>
      <c r="AJ57">
        <v>0.03</v>
      </c>
      <c r="AL57">
        <v>0.03</v>
      </c>
      <c r="AN57">
        <v>0.03</v>
      </c>
    </row>
    <row r="58" spans="1:40">
      <c r="A58" t="s">
        <v>206</v>
      </c>
      <c r="B58">
        <v>1</v>
      </c>
      <c r="C58">
        <v>1000</v>
      </c>
      <c r="D58">
        <v>2000</v>
      </c>
      <c r="E58">
        <v>0</v>
      </c>
      <c r="F58">
        <v>100000</v>
      </c>
      <c r="G58">
        <v>0</v>
      </c>
      <c r="H58">
        <v>0</v>
      </c>
      <c r="I58">
        <v>15000</v>
      </c>
      <c r="J58">
        <v>100000</v>
      </c>
      <c r="K58">
        <v>200000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</row>
    <row r="59" spans="1:40">
      <c r="A59" t="s">
        <v>207</v>
      </c>
      <c r="B59">
        <v>1</v>
      </c>
      <c r="C59">
        <v>800</v>
      </c>
      <c r="D59">
        <v>800</v>
      </c>
      <c r="E59">
        <v>0</v>
      </c>
      <c r="F59">
        <v>200000</v>
      </c>
      <c r="G59">
        <v>0</v>
      </c>
      <c r="H59">
        <v>0</v>
      </c>
      <c r="I59">
        <v>30000</v>
      </c>
      <c r="J59">
        <v>200000</v>
      </c>
      <c r="K59">
        <v>200000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</row>
    <row r="60" spans="1:40">
      <c r="A60" t="s">
        <v>208</v>
      </c>
      <c r="B60">
        <v>1</v>
      </c>
      <c r="C60">
        <v>0</v>
      </c>
      <c r="D60">
        <v>0</v>
      </c>
      <c r="E60">
        <v>1</v>
      </c>
      <c r="F60">
        <v>0</v>
      </c>
      <c r="G60">
        <v>0</v>
      </c>
      <c r="H60">
        <v>0.5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0BAD0-7215-E949-88F0-173C0384E8ED}">
  <sheetPr codeName="工作表6"/>
  <dimension ref="A1:S63"/>
  <sheetViews>
    <sheetView zoomScale="111" workbookViewId="0">
      <pane ySplit="1" topLeftCell="A50" activePane="bottomLeft" state="frozen"/>
      <selection pane="bottomLeft" activeCell="G55" sqref="G55"/>
    </sheetView>
  </sheetViews>
  <sheetFormatPr baseColWidth="10" defaultRowHeight="18"/>
  <cols>
    <col min="1" max="1" width="10.83203125" style="1"/>
    <col min="2" max="2" width="10.83203125" style="1" customWidth="1"/>
    <col min="3" max="12" width="15.1640625" style="1" customWidth="1"/>
    <col min="13" max="13" width="24.6640625" style="1" customWidth="1"/>
    <col min="14" max="17" width="15.1640625" style="1" customWidth="1"/>
    <col min="18" max="16384" width="10.83203125" style="1"/>
  </cols>
  <sheetData>
    <row r="1" spans="1:19" ht="38">
      <c r="A1" s="1" t="s">
        <v>4</v>
      </c>
      <c r="B1" s="1" t="s">
        <v>5</v>
      </c>
      <c r="C1" s="11" t="s">
        <v>42</v>
      </c>
      <c r="D1" s="8" t="s">
        <v>43</v>
      </c>
      <c r="E1" s="8" t="s">
        <v>37</v>
      </c>
      <c r="F1" s="8" t="s">
        <v>39</v>
      </c>
      <c r="G1" s="8" t="s">
        <v>6</v>
      </c>
      <c r="H1" s="8" t="s">
        <v>46</v>
      </c>
      <c r="I1" s="8" t="s">
        <v>48</v>
      </c>
      <c r="J1" s="8" t="s">
        <v>50</v>
      </c>
      <c r="K1" s="8" t="s">
        <v>1</v>
      </c>
      <c r="L1" s="8" t="s">
        <v>2</v>
      </c>
      <c r="M1" s="8" t="s">
        <v>55</v>
      </c>
      <c r="N1" s="8" t="s">
        <v>58</v>
      </c>
      <c r="O1" s="8" t="s">
        <v>0</v>
      </c>
      <c r="P1" s="8" t="s">
        <v>61</v>
      </c>
      <c r="Q1" s="8" t="s">
        <v>3</v>
      </c>
      <c r="R1" s="2"/>
      <c r="S1" s="2"/>
    </row>
    <row r="2" spans="1:19" ht="76">
      <c r="A2" s="7" t="s">
        <v>18</v>
      </c>
      <c r="B2" s="1">
        <v>5</v>
      </c>
      <c r="C2" s="12"/>
      <c r="D2" s="13"/>
      <c r="E2" s="13" t="s">
        <v>36</v>
      </c>
      <c r="F2" s="13"/>
      <c r="G2" s="13"/>
      <c r="H2" s="13"/>
      <c r="I2" s="13"/>
      <c r="J2" s="13"/>
      <c r="K2" s="13"/>
      <c r="L2" s="13" t="s">
        <v>54</v>
      </c>
      <c r="Q2" s="3"/>
      <c r="R2" s="10"/>
      <c r="S2" s="10"/>
    </row>
    <row r="3" spans="1:19" ht="38">
      <c r="A3" s="7" t="s">
        <v>19</v>
      </c>
      <c r="B3" s="1">
        <v>500</v>
      </c>
      <c r="C3" s="12" t="s">
        <v>35</v>
      </c>
      <c r="D3" s="13"/>
      <c r="E3" s="13" t="s">
        <v>40</v>
      </c>
      <c r="F3" s="13"/>
      <c r="G3" s="13"/>
      <c r="H3" s="13"/>
      <c r="I3" s="13"/>
      <c r="J3" s="13"/>
      <c r="K3" s="13"/>
      <c r="L3" s="13" t="s">
        <v>54</v>
      </c>
      <c r="Q3" s="3"/>
      <c r="R3" s="10"/>
      <c r="S3" s="10"/>
    </row>
    <row r="4" spans="1:19" ht="57">
      <c r="A4" s="7" t="s">
        <v>20</v>
      </c>
      <c r="B4" s="1">
        <v>500</v>
      </c>
      <c r="C4" s="12"/>
      <c r="D4" s="13" t="s">
        <v>32</v>
      </c>
      <c r="E4" s="13"/>
      <c r="F4" s="13"/>
      <c r="G4" s="13"/>
      <c r="H4" s="13"/>
      <c r="I4" s="13"/>
      <c r="J4" s="13"/>
      <c r="K4" s="13"/>
      <c r="L4" s="13" t="s">
        <v>54</v>
      </c>
      <c r="Q4" s="3"/>
      <c r="R4" s="10"/>
      <c r="S4" s="10"/>
    </row>
    <row r="5" spans="1:19">
      <c r="A5" s="1" t="s">
        <v>21</v>
      </c>
      <c r="B5" s="1">
        <v>12</v>
      </c>
      <c r="C5" s="12"/>
      <c r="D5" s="13"/>
      <c r="E5" s="13"/>
      <c r="F5" s="13"/>
      <c r="G5" s="13"/>
      <c r="H5" s="13"/>
      <c r="I5" s="13"/>
      <c r="J5" s="13"/>
      <c r="K5" s="13"/>
      <c r="L5" s="13"/>
      <c r="Q5" s="3" t="s">
        <v>66</v>
      </c>
      <c r="R5" s="10"/>
      <c r="S5" s="10"/>
    </row>
    <row r="6" spans="1:19">
      <c r="A6" s="1" t="s">
        <v>22</v>
      </c>
      <c r="B6" s="1">
        <v>50</v>
      </c>
      <c r="C6" s="12"/>
      <c r="D6" s="13"/>
      <c r="E6" s="13"/>
      <c r="F6" s="13"/>
      <c r="G6" s="13"/>
      <c r="H6" s="13"/>
      <c r="I6" s="13"/>
      <c r="J6" s="13"/>
      <c r="K6" s="13"/>
      <c r="L6" s="13"/>
      <c r="Q6" s="3"/>
      <c r="R6" s="10"/>
      <c r="S6" s="10"/>
    </row>
    <row r="7" spans="1:19" ht="38">
      <c r="A7" s="1" t="s">
        <v>23</v>
      </c>
      <c r="B7" s="1">
        <v>1</v>
      </c>
      <c r="C7" s="12"/>
      <c r="D7" s="13"/>
      <c r="E7" s="13"/>
      <c r="F7" s="13"/>
      <c r="G7" s="13"/>
      <c r="H7" s="13"/>
      <c r="I7" s="13"/>
      <c r="J7" s="13"/>
      <c r="K7" s="13" t="s">
        <v>52</v>
      </c>
      <c r="L7" s="13"/>
      <c r="M7" s="1" t="s">
        <v>56</v>
      </c>
      <c r="Q7" s="3"/>
      <c r="R7" s="10"/>
      <c r="S7" s="10"/>
    </row>
    <row r="8" spans="1:19" ht="38">
      <c r="A8" s="1" t="s">
        <v>24</v>
      </c>
      <c r="B8" s="1">
        <v>100000</v>
      </c>
      <c r="C8" s="12"/>
      <c r="D8" s="13"/>
      <c r="E8" s="13"/>
      <c r="F8" s="13"/>
      <c r="G8" s="13"/>
      <c r="H8" s="13"/>
      <c r="I8" s="13"/>
      <c r="J8" s="13"/>
      <c r="K8" s="13" t="s">
        <v>53</v>
      </c>
      <c r="L8" s="13"/>
      <c r="O8" s="1" t="s">
        <v>60</v>
      </c>
      <c r="Q8" s="3"/>
      <c r="R8" s="10"/>
      <c r="S8" s="10"/>
    </row>
    <row r="9" spans="1:19" ht="38">
      <c r="A9" s="1" t="s">
        <v>25</v>
      </c>
      <c r="B9" s="1">
        <v>100000</v>
      </c>
      <c r="C9" s="12"/>
      <c r="D9" s="13"/>
      <c r="E9" s="13"/>
      <c r="F9" s="13"/>
      <c r="G9" s="13"/>
      <c r="H9" s="13"/>
      <c r="I9" s="13"/>
      <c r="J9" s="13"/>
      <c r="K9" s="13" t="s">
        <v>53</v>
      </c>
      <c r="L9" s="13"/>
      <c r="O9" s="1" t="s">
        <v>60</v>
      </c>
      <c r="Q9" s="3"/>
      <c r="R9" s="10"/>
      <c r="S9" s="10"/>
    </row>
    <row r="10" spans="1:19">
      <c r="A10" s="1" t="s">
        <v>7</v>
      </c>
      <c r="B10" s="1">
        <v>500000</v>
      </c>
      <c r="C10" s="12"/>
      <c r="D10" s="13"/>
      <c r="E10" s="13"/>
      <c r="F10" s="13"/>
      <c r="G10" s="13"/>
      <c r="H10" s="13"/>
      <c r="I10" s="13"/>
      <c r="J10" s="13"/>
      <c r="K10" s="13"/>
      <c r="L10" s="13"/>
      <c r="Q10" s="3"/>
      <c r="R10" s="10"/>
      <c r="S10" s="10"/>
    </row>
    <row r="11" spans="1:19" ht="38">
      <c r="A11" s="1" t="s">
        <v>8</v>
      </c>
      <c r="B11" s="1">
        <v>500000</v>
      </c>
      <c r="C11" s="12"/>
      <c r="D11" s="13"/>
      <c r="E11" s="13"/>
      <c r="F11" s="13"/>
      <c r="G11" s="13"/>
      <c r="H11" s="13"/>
      <c r="I11" s="13"/>
      <c r="J11" s="13"/>
      <c r="K11" s="13" t="s">
        <v>53</v>
      </c>
      <c r="L11" s="13"/>
      <c r="O11" s="1" t="s">
        <v>60</v>
      </c>
      <c r="Q11" s="3"/>
      <c r="R11" s="10"/>
      <c r="S11" s="10"/>
    </row>
    <row r="12" spans="1:19">
      <c r="A12" s="1" t="s">
        <v>26</v>
      </c>
      <c r="B12" s="1">
        <v>5000</v>
      </c>
      <c r="C12" s="12"/>
      <c r="D12" s="13"/>
      <c r="E12" s="13"/>
      <c r="F12" s="13"/>
      <c r="G12" s="13"/>
      <c r="H12" s="13"/>
      <c r="I12" s="13"/>
      <c r="J12" s="13"/>
      <c r="K12" s="13"/>
      <c r="L12" s="13"/>
      <c r="Q12" s="3"/>
      <c r="R12" s="10"/>
      <c r="S12" s="10"/>
    </row>
    <row r="13" spans="1:19">
      <c r="A13" s="1" t="s">
        <v>9</v>
      </c>
      <c r="B13" s="1">
        <v>1</v>
      </c>
      <c r="C13" s="12"/>
      <c r="D13" s="13"/>
      <c r="E13" s="13"/>
      <c r="F13" s="13"/>
      <c r="G13" s="13"/>
      <c r="H13" s="13"/>
      <c r="I13" s="13"/>
      <c r="J13" s="13"/>
      <c r="K13" s="13"/>
      <c r="L13" s="13"/>
      <c r="M13" s="1" t="s">
        <v>57</v>
      </c>
      <c r="N13" s="1" t="s">
        <v>59</v>
      </c>
      <c r="Q13" s="3"/>
      <c r="R13" s="10"/>
      <c r="S13" s="10"/>
    </row>
    <row r="14" spans="1:19">
      <c r="A14" s="1" t="s">
        <v>27</v>
      </c>
      <c r="B14" s="1">
        <v>10</v>
      </c>
      <c r="C14" s="12"/>
      <c r="D14" s="13"/>
      <c r="E14" s="13"/>
      <c r="F14" s="13"/>
      <c r="G14" s="13"/>
      <c r="H14" s="13"/>
      <c r="I14" s="13"/>
      <c r="J14" s="13"/>
      <c r="K14" s="13"/>
      <c r="L14" s="13"/>
      <c r="Q14" s="3"/>
      <c r="R14" s="10"/>
      <c r="S14" s="10"/>
    </row>
    <row r="15" spans="1:19">
      <c r="A15" s="1" t="s">
        <v>28</v>
      </c>
      <c r="B15" s="1">
        <v>500000</v>
      </c>
      <c r="C15" s="12"/>
      <c r="D15" s="13"/>
      <c r="E15" s="13"/>
      <c r="F15" s="13"/>
      <c r="G15" s="13"/>
      <c r="H15" s="13"/>
      <c r="I15" s="13"/>
      <c r="J15" s="13"/>
      <c r="K15" s="13"/>
      <c r="L15" s="13"/>
      <c r="Q15" s="3"/>
      <c r="R15" s="10"/>
      <c r="S15" s="10"/>
    </row>
    <row r="16" spans="1:19">
      <c r="A16" s="1" t="s">
        <v>10</v>
      </c>
      <c r="B16" s="1">
        <v>1000000</v>
      </c>
      <c r="C16" s="12"/>
      <c r="D16" s="13"/>
      <c r="E16" s="13"/>
      <c r="F16" s="13"/>
      <c r="G16" s="13"/>
      <c r="H16" s="13"/>
      <c r="I16" s="13"/>
      <c r="J16" s="13"/>
      <c r="K16" s="13"/>
      <c r="L16" s="13"/>
      <c r="Q16" s="3"/>
      <c r="R16" s="10"/>
      <c r="S16" s="10"/>
    </row>
    <row r="17" spans="1:19">
      <c r="A17" s="1" t="s">
        <v>15</v>
      </c>
      <c r="B17" s="1">
        <v>100000</v>
      </c>
      <c r="C17" s="12"/>
      <c r="D17" s="13"/>
      <c r="E17" s="13"/>
      <c r="F17" s="13"/>
      <c r="G17" s="13"/>
      <c r="H17" s="13"/>
      <c r="I17" s="13"/>
      <c r="J17" s="13"/>
      <c r="K17" s="13"/>
      <c r="L17" s="13"/>
      <c r="Q17" s="3"/>
      <c r="R17" s="10"/>
      <c r="S17" s="10"/>
    </row>
    <row r="18" spans="1:19" ht="38">
      <c r="A18" s="1" t="s">
        <v>16</v>
      </c>
      <c r="B18" s="1">
        <v>10</v>
      </c>
      <c r="C18" s="12"/>
      <c r="D18" s="13"/>
      <c r="E18" s="13"/>
      <c r="F18" s="13"/>
      <c r="G18" s="13"/>
      <c r="H18" s="13"/>
      <c r="I18" s="13"/>
      <c r="J18" s="13" t="s">
        <v>51</v>
      </c>
      <c r="K18" s="13"/>
      <c r="L18" s="13"/>
      <c r="Q18" s="3"/>
      <c r="R18" s="10"/>
      <c r="S18" s="10"/>
    </row>
    <row r="19" spans="1:19">
      <c r="A19" s="9" t="s">
        <v>17</v>
      </c>
      <c r="B19" s="1">
        <v>3</v>
      </c>
      <c r="C19" s="12"/>
      <c r="D19" s="13"/>
      <c r="E19" s="13"/>
      <c r="F19" s="13"/>
      <c r="G19" s="13"/>
      <c r="H19" s="13"/>
      <c r="I19" s="13"/>
      <c r="J19" s="13"/>
      <c r="K19" s="13"/>
      <c r="L19" s="13"/>
      <c r="P19" s="1" t="s">
        <v>62</v>
      </c>
      <c r="Q19" s="3"/>
      <c r="R19" s="10"/>
      <c r="S19" s="10"/>
    </row>
    <row r="20" spans="1:19" ht="38">
      <c r="A20" s="1" t="s">
        <v>29</v>
      </c>
      <c r="B20" s="1">
        <v>5</v>
      </c>
      <c r="C20" s="12"/>
      <c r="D20" s="13"/>
      <c r="E20" s="13" t="s">
        <v>45</v>
      </c>
      <c r="F20" s="13"/>
      <c r="G20" s="13"/>
      <c r="H20" s="13"/>
      <c r="I20" s="13"/>
      <c r="J20" s="13"/>
      <c r="K20" s="13"/>
      <c r="L20" s="13"/>
      <c r="Q20" s="3"/>
      <c r="R20" s="10"/>
      <c r="S20" s="10"/>
    </row>
    <row r="21" spans="1:19">
      <c r="A21" s="1" t="s">
        <v>106</v>
      </c>
      <c r="B21" s="1">
        <v>50</v>
      </c>
      <c r="C21" s="12"/>
      <c r="D21" s="13"/>
      <c r="E21" s="13"/>
      <c r="F21" s="13"/>
      <c r="G21" s="13"/>
      <c r="H21" s="13"/>
      <c r="I21" s="13"/>
      <c r="J21" s="13"/>
      <c r="K21" s="13"/>
      <c r="L21" s="13"/>
      <c r="Q21" s="3"/>
      <c r="R21" s="10"/>
      <c r="S21" s="10"/>
    </row>
    <row r="22" spans="1:19" ht="76">
      <c r="A22" s="1" t="s">
        <v>30</v>
      </c>
      <c r="B22" s="1">
        <v>500</v>
      </c>
      <c r="C22" s="12"/>
      <c r="D22" s="13"/>
      <c r="E22" s="13" t="s">
        <v>38</v>
      </c>
      <c r="F22" s="13"/>
      <c r="G22" s="13" t="s">
        <v>44</v>
      </c>
      <c r="H22" s="13"/>
      <c r="I22" s="13"/>
      <c r="J22" s="13"/>
      <c r="K22" s="13"/>
      <c r="L22" s="13"/>
      <c r="Q22" s="3"/>
      <c r="R22" s="10"/>
      <c r="S22" s="10"/>
    </row>
    <row r="23" spans="1:19" ht="76">
      <c r="A23" s="1" t="s">
        <v>11</v>
      </c>
      <c r="B23" s="1">
        <v>1</v>
      </c>
      <c r="C23" s="12" t="s">
        <v>31</v>
      </c>
      <c r="D23" s="13"/>
      <c r="E23" s="13"/>
      <c r="F23" s="13" t="s">
        <v>41</v>
      </c>
      <c r="G23" s="13"/>
      <c r="H23" s="13" t="s">
        <v>47</v>
      </c>
      <c r="I23" s="13" t="s">
        <v>49</v>
      </c>
      <c r="J23" s="13"/>
      <c r="K23" s="13"/>
      <c r="L23" s="13"/>
      <c r="Q23" s="3"/>
      <c r="R23" s="10"/>
      <c r="S23" s="10"/>
    </row>
    <row r="24" spans="1:19">
      <c r="A24" s="1" t="s">
        <v>12</v>
      </c>
      <c r="B24" s="1">
        <v>500</v>
      </c>
      <c r="C24" s="12"/>
      <c r="D24" s="13"/>
      <c r="E24" s="13"/>
      <c r="F24" s="13"/>
      <c r="G24" s="13"/>
      <c r="H24" s="13"/>
      <c r="I24" s="13"/>
      <c r="J24" s="13"/>
      <c r="K24" s="13"/>
      <c r="L24" s="13"/>
      <c r="Q24" s="3"/>
      <c r="R24" s="10"/>
      <c r="S24" s="10"/>
    </row>
    <row r="25" spans="1:19" ht="38">
      <c r="A25" s="1" t="s">
        <v>13</v>
      </c>
      <c r="B25" s="1">
        <v>100000</v>
      </c>
      <c r="C25" s="12"/>
      <c r="D25" s="13"/>
      <c r="E25" s="13"/>
      <c r="F25" s="13"/>
      <c r="G25" s="13"/>
      <c r="H25" s="13"/>
      <c r="I25" s="13"/>
      <c r="J25" s="13"/>
      <c r="K25" s="13" t="s">
        <v>53</v>
      </c>
      <c r="L25" s="13"/>
      <c r="O25" s="1" t="s">
        <v>60</v>
      </c>
      <c r="Q25" s="3"/>
      <c r="R25" s="10"/>
      <c r="S25" s="10"/>
    </row>
    <row r="26" spans="1:19" ht="38">
      <c r="A26" s="1" t="s">
        <v>14</v>
      </c>
      <c r="B26" s="1">
        <v>100000</v>
      </c>
      <c r="C26" s="12"/>
      <c r="D26" s="13"/>
      <c r="E26" s="13"/>
      <c r="F26" s="13"/>
      <c r="G26" s="13"/>
      <c r="H26" s="13"/>
      <c r="I26" s="13"/>
      <c r="J26" s="13"/>
      <c r="K26" s="13" t="s">
        <v>53</v>
      </c>
      <c r="L26" s="13"/>
      <c r="O26" s="1" t="s">
        <v>60</v>
      </c>
      <c r="Q26" s="3"/>
      <c r="R26" s="10"/>
      <c r="S26" s="10"/>
    </row>
    <row r="27" spans="1:19">
      <c r="A27" s="9" t="s">
        <v>33</v>
      </c>
      <c r="B27" s="1">
        <v>10000</v>
      </c>
      <c r="C27" s="12"/>
      <c r="D27" s="13"/>
      <c r="E27" s="13"/>
      <c r="F27" s="13"/>
      <c r="G27" s="13"/>
      <c r="H27" s="13"/>
      <c r="I27" s="13"/>
      <c r="J27" s="13"/>
      <c r="K27" s="13"/>
      <c r="L27" s="13"/>
      <c r="P27" s="1" t="s">
        <v>63</v>
      </c>
      <c r="Q27" s="3"/>
      <c r="R27" s="10"/>
      <c r="S27" s="10"/>
    </row>
    <row r="28" spans="1:19">
      <c r="A28" s="1" t="s">
        <v>64</v>
      </c>
      <c r="B28" s="1">
        <v>10000</v>
      </c>
      <c r="C28" s="12"/>
      <c r="D28" s="13"/>
      <c r="E28" s="13"/>
      <c r="F28" s="13"/>
      <c r="G28" s="13"/>
      <c r="H28" s="13"/>
      <c r="I28" s="13"/>
      <c r="J28" s="13"/>
      <c r="K28" s="13"/>
      <c r="L28" s="13"/>
      <c r="P28" s="1" t="s">
        <v>65</v>
      </c>
      <c r="Q28" s="3"/>
      <c r="R28" s="10"/>
      <c r="S28" s="10"/>
    </row>
    <row r="29" spans="1:19">
      <c r="A29" s="4" t="e">
        <f>#REF!</f>
        <v>#REF!</v>
      </c>
      <c r="B29" s="1">
        <v>1</v>
      </c>
      <c r="C29" s="12"/>
      <c r="D29" s="13"/>
      <c r="E29" s="13"/>
      <c r="F29" s="13"/>
      <c r="G29" s="13"/>
      <c r="H29" s="13"/>
      <c r="I29" s="13"/>
      <c r="J29" s="13"/>
      <c r="K29" s="13"/>
      <c r="L29" s="13"/>
      <c r="M29" s="1" t="s">
        <v>57</v>
      </c>
      <c r="N29" s="1" t="s">
        <v>59</v>
      </c>
      <c r="Q29" s="3"/>
      <c r="R29" s="10"/>
      <c r="S29" s="10"/>
    </row>
    <row r="30" spans="1:19" ht="76">
      <c r="A30" s="4" t="e">
        <f>#REF!</f>
        <v>#REF!</v>
      </c>
      <c r="B30" s="1">
        <v>5</v>
      </c>
      <c r="C30" s="12"/>
      <c r="D30" s="13"/>
      <c r="E30" s="13" t="s">
        <v>36</v>
      </c>
      <c r="F30" s="13"/>
      <c r="G30" s="13"/>
      <c r="H30" s="13"/>
      <c r="I30" s="13"/>
      <c r="J30" s="13"/>
      <c r="K30" s="13"/>
      <c r="L30" s="13" t="s">
        <v>54</v>
      </c>
      <c r="Q30" s="3"/>
      <c r="R30" s="10"/>
      <c r="S30" s="10"/>
    </row>
    <row r="31" spans="1:19">
      <c r="A31" s="4" t="e">
        <f>#REF!</f>
        <v>#REF!</v>
      </c>
      <c r="B31" s="1">
        <v>500000</v>
      </c>
      <c r="C31" s="14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5"/>
      <c r="R31" s="10"/>
      <c r="S31" s="10"/>
    </row>
    <row r="32" spans="1:19" ht="38">
      <c r="A32" s="4" t="s">
        <v>107</v>
      </c>
      <c r="B32" s="1">
        <v>5</v>
      </c>
      <c r="C32" s="12"/>
      <c r="D32" s="13"/>
      <c r="E32" s="13" t="s">
        <v>45</v>
      </c>
      <c r="F32" s="13"/>
      <c r="G32" s="13"/>
      <c r="H32" s="13"/>
      <c r="I32" s="13"/>
      <c r="J32" s="13"/>
      <c r="K32" s="13"/>
      <c r="L32" s="13"/>
      <c r="Q32" s="3"/>
      <c r="R32" s="10"/>
      <c r="S32" s="10"/>
    </row>
    <row r="33" spans="1:19">
      <c r="A33" s="4" t="e">
        <f>#REF!</f>
        <v>#REF!</v>
      </c>
      <c r="B33" s="1">
        <v>1000000</v>
      </c>
      <c r="C33" s="14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5"/>
      <c r="R33" s="10"/>
      <c r="S33" s="10"/>
    </row>
    <row r="34" spans="1:19" ht="38">
      <c r="A34" s="7" t="s">
        <v>68</v>
      </c>
      <c r="B34" s="1">
        <v>500</v>
      </c>
      <c r="C34" s="12" t="s">
        <v>35</v>
      </c>
      <c r="D34" s="13"/>
      <c r="E34" s="13" t="s">
        <v>40</v>
      </c>
      <c r="F34" s="13"/>
      <c r="G34" s="13"/>
      <c r="H34" s="13"/>
      <c r="I34" s="13"/>
      <c r="J34" s="13"/>
      <c r="K34" s="13"/>
      <c r="L34" s="13" t="s">
        <v>54</v>
      </c>
      <c r="Q34" s="3"/>
      <c r="R34" s="10"/>
      <c r="S34" s="10"/>
    </row>
    <row r="35" spans="1:19" ht="57">
      <c r="A35" s="7" t="s">
        <v>69</v>
      </c>
      <c r="B35" s="1">
        <v>500</v>
      </c>
      <c r="C35" s="12"/>
      <c r="D35" s="13" t="s">
        <v>32</v>
      </c>
      <c r="E35" s="13"/>
      <c r="F35" s="13"/>
      <c r="G35" s="13"/>
      <c r="H35" s="13"/>
      <c r="I35" s="13"/>
      <c r="J35" s="13"/>
      <c r="K35" s="13"/>
      <c r="L35" s="13" t="s">
        <v>54</v>
      </c>
      <c r="Q35" s="3"/>
      <c r="R35" s="10"/>
      <c r="S35" s="10"/>
    </row>
    <row r="36" spans="1:19" ht="38">
      <c r="A36" s="1" t="s">
        <v>70</v>
      </c>
      <c r="B36" s="1">
        <v>1</v>
      </c>
      <c r="C36" s="12"/>
      <c r="D36" s="13"/>
      <c r="E36" s="13"/>
      <c r="F36" s="13"/>
      <c r="G36" s="13"/>
      <c r="H36" s="13"/>
      <c r="I36" s="13"/>
      <c r="J36" s="13"/>
      <c r="K36" s="13" t="s">
        <v>52</v>
      </c>
      <c r="L36" s="13"/>
      <c r="M36" s="1" t="s">
        <v>56</v>
      </c>
      <c r="Q36" s="3"/>
      <c r="R36" s="10"/>
      <c r="S36" s="10"/>
    </row>
    <row r="37" spans="1:19">
      <c r="A37" s="1" t="s">
        <v>71</v>
      </c>
      <c r="B37" s="1">
        <v>12</v>
      </c>
      <c r="C37" s="12"/>
      <c r="D37" s="13"/>
      <c r="E37" s="13"/>
      <c r="F37" s="13"/>
      <c r="G37" s="13"/>
      <c r="H37" s="13"/>
      <c r="I37" s="13"/>
      <c r="J37" s="13"/>
      <c r="K37" s="13"/>
      <c r="L37" s="13"/>
      <c r="Q37" s="3" t="s">
        <v>66</v>
      </c>
      <c r="R37" s="10"/>
      <c r="S37" s="10"/>
    </row>
    <row r="38" spans="1:19" ht="95">
      <c r="A38" s="4" t="s">
        <v>72</v>
      </c>
      <c r="B38" s="1">
        <v>500</v>
      </c>
      <c r="C38" s="14"/>
      <c r="D38" s="10"/>
      <c r="E38" s="19" t="s">
        <v>73</v>
      </c>
      <c r="F38" s="10"/>
      <c r="G38" s="19" t="s">
        <v>74</v>
      </c>
      <c r="H38" s="10"/>
      <c r="I38" s="10"/>
      <c r="J38" s="19" t="s">
        <v>73</v>
      </c>
      <c r="K38" s="10"/>
      <c r="L38" s="10"/>
      <c r="M38" s="10"/>
      <c r="N38" s="10"/>
      <c r="O38" s="10"/>
      <c r="P38" s="10"/>
      <c r="Q38" s="15"/>
      <c r="R38" s="10"/>
      <c r="S38" s="10"/>
    </row>
    <row r="39" spans="1:19" ht="114">
      <c r="A39" s="4" t="s">
        <v>75</v>
      </c>
      <c r="B39" s="1">
        <v>1</v>
      </c>
      <c r="C39" s="12" t="s">
        <v>31</v>
      </c>
      <c r="D39" s="10"/>
      <c r="E39" s="10"/>
      <c r="F39" s="13" t="s">
        <v>76</v>
      </c>
      <c r="G39" s="10"/>
      <c r="H39" s="19" t="s">
        <v>80</v>
      </c>
      <c r="I39" s="13" t="s">
        <v>81</v>
      </c>
      <c r="J39" s="10"/>
      <c r="K39" s="10"/>
      <c r="L39" s="10"/>
      <c r="M39" s="10"/>
      <c r="N39" s="10"/>
      <c r="O39" s="10"/>
      <c r="P39" s="10"/>
      <c r="Q39" s="15"/>
      <c r="R39" s="10"/>
      <c r="S39" s="10"/>
    </row>
    <row r="40" spans="1:19">
      <c r="A40" s="1" t="s">
        <v>77</v>
      </c>
      <c r="B40" s="1">
        <v>1</v>
      </c>
      <c r="C40" s="14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" t="s">
        <v>78</v>
      </c>
      <c r="P40" s="10"/>
      <c r="Q40" s="15"/>
      <c r="R40" s="10"/>
      <c r="S40" s="10"/>
    </row>
    <row r="41" spans="1:19">
      <c r="A41" s="4" t="e">
        <f>#REF!</f>
        <v>#REF!</v>
      </c>
      <c r="B41" s="1">
        <v>1</v>
      </c>
      <c r="C41" s="14"/>
      <c r="D41" s="10"/>
      <c r="E41" s="10"/>
      <c r="F41" s="10"/>
      <c r="G41" s="10"/>
      <c r="H41" s="10"/>
      <c r="I41" s="10"/>
      <c r="J41" s="10"/>
      <c r="K41" s="10" t="s">
        <v>79</v>
      </c>
      <c r="L41" s="10"/>
      <c r="M41" s="10"/>
      <c r="N41" s="10"/>
      <c r="O41" s="10"/>
      <c r="P41" s="10"/>
      <c r="Q41" s="15"/>
      <c r="R41" s="10"/>
      <c r="S41" s="10"/>
    </row>
    <row r="42" spans="1:19" ht="76">
      <c r="A42" s="4" t="s">
        <v>82</v>
      </c>
      <c r="B42" s="1">
        <v>30</v>
      </c>
      <c r="C42" s="12" t="s">
        <v>31</v>
      </c>
      <c r="D42" s="13"/>
      <c r="E42" s="13"/>
      <c r="F42" s="13" t="s">
        <v>41</v>
      </c>
      <c r="G42" s="13"/>
      <c r="H42" s="13" t="s">
        <v>83</v>
      </c>
      <c r="I42" s="13" t="s">
        <v>49</v>
      </c>
      <c r="J42" s="10"/>
      <c r="K42" s="10"/>
      <c r="L42" s="10"/>
      <c r="M42" s="10"/>
      <c r="N42" s="10"/>
      <c r="O42" s="10"/>
      <c r="P42" s="10"/>
      <c r="Q42" s="15"/>
      <c r="R42" s="10"/>
      <c r="S42" s="10"/>
    </row>
    <row r="43" spans="1:19">
      <c r="A43" s="1" t="s">
        <v>21</v>
      </c>
      <c r="B43" s="1">
        <v>12</v>
      </c>
      <c r="C43" s="12"/>
      <c r="D43" s="13"/>
      <c r="E43" s="13"/>
      <c r="F43" s="13"/>
      <c r="G43" s="13"/>
      <c r="H43" s="13"/>
      <c r="I43" s="13"/>
      <c r="J43" s="13"/>
      <c r="K43" s="13"/>
      <c r="L43" s="13"/>
      <c r="Q43" s="3" t="s">
        <v>66</v>
      </c>
      <c r="R43" s="10"/>
      <c r="S43" s="10"/>
    </row>
    <row r="44" spans="1:19">
      <c r="A44" s="1" t="s">
        <v>104</v>
      </c>
      <c r="B44" s="1">
        <v>10000</v>
      </c>
      <c r="C44" s="12"/>
      <c r="D44" s="13"/>
      <c r="E44" s="13"/>
      <c r="F44" s="13"/>
      <c r="G44" s="13"/>
      <c r="H44" s="13"/>
      <c r="I44" s="13"/>
      <c r="J44" s="13"/>
      <c r="K44" s="13"/>
      <c r="L44" s="13"/>
      <c r="P44" s="3"/>
      <c r="Q44" s="3" t="s">
        <v>84</v>
      </c>
      <c r="R44" s="10"/>
      <c r="S44" s="10"/>
    </row>
    <row r="45" spans="1:19" s="13" customFormat="1" ht="69" customHeight="1">
      <c r="A45" s="12" t="s">
        <v>103</v>
      </c>
      <c r="B45" s="13">
        <v>500</v>
      </c>
      <c r="C45" s="20"/>
      <c r="D45" s="19"/>
      <c r="E45" s="19" t="s">
        <v>87</v>
      </c>
      <c r="F45" s="19"/>
      <c r="G45" s="19" t="s">
        <v>86</v>
      </c>
      <c r="H45" s="19"/>
      <c r="I45" s="19"/>
      <c r="J45" s="19"/>
      <c r="K45" s="19"/>
      <c r="L45" s="19" t="s">
        <v>85</v>
      </c>
      <c r="M45" s="19"/>
      <c r="N45" s="19"/>
      <c r="O45" s="19" t="s">
        <v>88</v>
      </c>
      <c r="P45" s="19"/>
      <c r="Q45" s="21"/>
      <c r="R45" s="19"/>
      <c r="S45" s="19"/>
    </row>
    <row r="46" spans="1:19" ht="76">
      <c r="A46" s="4" t="s">
        <v>89</v>
      </c>
      <c r="B46" s="1">
        <v>1000</v>
      </c>
      <c r="C46" s="14"/>
      <c r="D46" s="10"/>
      <c r="E46" s="19" t="s">
        <v>90</v>
      </c>
      <c r="F46" s="10"/>
      <c r="G46" s="19" t="s">
        <v>90</v>
      </c>
      <c r="H46" s="10"/>
      <c r="I46" s="10"/>
      <c r="J46" s="10"/>
      <c r="K46" s="10"/>
      <c r="L46" s="10"/>
      <c r="M46" s="10"/>
      <c r="N46" s="10"/>
      <c r="O46" s="10"/>
      <c r="P46" s="10"/>
      <c r="Q46" s="15"/>
      <c r="R46" s="10"/>
      <c r="S46" s="10"/>
    </row>
    <row r="47" spans="1:19" ht="76">
      <c r="A47" s="4" t="s">
        <v>91</v>
      </c>
      <c r="B47" s="1">
        <v>1000</v>
      </c>
      <c r="C47" s="14"/>
      <c r="D47" s="10"/>
      <c r="E47" s="19" t="s">
        <v>90</v>
      </c>
      <c r="F47" s="10"/>
      <c r="G47" s="19" t="s">
        <v>90</v>
      </c>
      <c r="H47" s="10"/>
      <c r="I47" s="10"/>
      <c r="J47" s="10"/>
      <c r="K47" s="10"/>
      <c r="L47" s="10"/>
      <c r="M47" s="10"/>
      <c r="N47" s="10"/>
      <c r="O47" s="10"/>
      <c r="P47" s="10"/>
      <c r="Q47" s="15"/>
      <c r="R47" s="10"/>
      <c r="S47" s="10"/>
    </row>
    <row r="48" spans="1:19" ht="76">
      <c r="A48" s="1" t="s">
        <v>92</v>
      </c>
      <c r="B48" s="1">
        <v>1</v>
      </c>
      <c r="C48" s="12" t="s">
        <v>94</v>
      </c>
      <c r="D48" s="13"/>
      <c r="E48" s="13"/>
      <c r="F48" s="13" t="s">
        <v>93</v>
      </c>
      <c r="G48" s="13"/>
      <c r="H48" s="13" t="s">
        <v>95</v>
      </c>
      <c r="I48" s="13" t="s">
        <v>49</v>
      </c>
      <c r="J48" s="13"/>
      <c r="K48" s="13"/>
      <c r="L48" s="13"/>
      <c r="Q48" s="3"/>
      <c r="R48" s="10"/>
      <c r="S48" s="10"/>
    </row>
    <row r="49" spans="1:19" ht="76">
      <c r="A49" s="1" t="s">
        <v>96</v>
      </c>
      <c r="B49" s="1">
        <v>1</v>
      </c>
      <c r="C49" s="12" t="s">
        <v>97</v>
      </c>
      <c r="D49" s="13"/>
      <c r="E49" s="13"/>
      <c r="F49" s="13" t="s">
        <v>93</v>
      </c>
      <c r="G49" s="13"/>
      <c r="H49" s="13" t="s">
        <v>47</v>
      </c>
      <c r="I49" s="13" t="s">
        <v>49</v>
      </c>
      <c r="J49" s="13"/>
      <c r="K49" s="13"/>
      <c r="L49" s="13"/>
      <c r="Q49" s="3"/>
      <c r="R49" s="10"/>
      <c r="S49" s="10"/>
    </row>
    <row r="50" spans="1:19" ht="57">
      <c r="A50" s="1" t="s">
        <v>98</v>
      </c>
      <c r="B50" s="1">
        <v>1</v>
      </c>
      <c r="C50" s="12" t="s">
        <v>100</v>
      </c>
      <c r="D50" s="13"/>
      <c r="E50" s="13"/>
      <c r="F50" s="13" t="s">
        <v>101</v>
      </c>
      <c r="G50" s="13"/>
      <c r="H50" s="13" t="s">
        <v>99</v>
      </c>
      <c r="I50" s="13" t="s">
        <v>101</v>
      </c>
      <c r="J50" s="13"/>
      <c r="K50" s="13"/>
      <c r="L50" s="13"/>
      <c r="Q50" s="3"/>
      <c r="R50" s="10"/>
      <c r="S50" s="10"/>
    </row>
    <row r="51" spans="1:19" ht="76">
      <c r="A51" s="4" t="s">
        <v>102</v>
      </c>
      <c r="B51" s="1">
        <v>1000</v>
      </c>
      <c r="C51" s="14"/>
      <c r="D51" s="10"/>
      <c r="E51" s="19" t="s">
        <v>90</v>
      </c>
      <c r="F51" s="10"/>
      <c r="G51" s="19" t="s">
        <v>90</v>
      </c>
      <c r="H51" s="10"/>
      <c r="I51" s="10"/>
      <c r="J51" s="10"/>
      <c r="K51" s="10"/>
      <c r="L51" s="10"/>
      <c r="M51" s="10"/>
      <c r="N51" s="10"/>
      <c r="O51" s="10"/>
      <c r="P51" s="10"/>
      <c r="Q51" s="15"/>
      <c r="R51" s="10"/>
      <c r="S51" s="10"/>
    </row>
    <row r="52" spans="1:19">
      <c r="A52" s="1" t="s">
        <v>105</v>
      </c>
      <c r="B52" s="1">
        <v>10000</v>
      </c>
      <c r="C52" s="12"/>
      <c r="D52" s="13"/>
      <c r="E52" s="13"/>
      <c r="F52" s="13"/>
      <c r="G52" s="13"/>
      <c r="H52" s="13"/>
      <c r="I52" s="13"/>
      <c r="J52" s="13"/>
      <c r="K52" s="13"/>
      <c r="L52" s="13"/>
      <c r="P52" s="3"/>
      <c r="Q52" s="3" t="s">
        <v>66</v>
      </c>
      <c r="R52" s="10"/>
      <c r="S52" s="10"/>
    </row>
    <row r="53" spans="1:19" ht="38">
      <c r="A53" s="1" t="s">
        <v>108</v>
      </c>
      <c r="B53" s="1">
        <v>10000</v>
      </c>
      <c r="C53" s="12"/>
      <c r="D53" s="13"/>
      <c r="E53" s="13"/>
      <c r="F53" s="13"/>
      <c r="G53" s="13"/>
      <c r="H53" s="13"/>
      <c r="I53" s="13"/>
      <c r="J53" s="13"/>
      <c r="K53" s="13" t="s">
        <v>109</v>
      </c>
      <c r="L53" s="13"/>
      <c r="Q53" s="3"/>
      <c r="R53" s="10"/>
      <c r="S53" s="10"/>
    </row>
    <row r="54" spans="1:19" ht="76">
      <c r="A54" s="1" t="s">
        <v>110</v>
      </c>
      <c r="B54" s="1">
        <v>1</v>
      </c>
      <c r="C54" s="12" t="s">
        <v>97</v>
      </c>
      <c r="D54" s="13"/>
      <c r="E54" s="13"/>
      <c r="F54" s="13" t="s">
        <v>93</v>
      </c>
      <c r="G54" s="13"/>
      <c r="H54" s="13" t="s">
        <v>47</v>
      </c>
      <c r="I54" s="13" t="s">
        <v>49</v>
      </c>
      <c r="J54" s="13"/>
      <c r="K54" s="13"/>
      <c r="L54" s="13"/>
      <c r="Q54" s="3"/>
      <c r="R54" s="10"/>
      <c r="S54" s="10"/>
    </row>
    <row r="55" spans="1:19" ht="76">
      <c r="A55" s="4" t="s">
        <v>111</v>
      </c>
      <c r="B55" s="1">
        <v>500</v>
      </c>
      <c r="C55" s="14"/>
      <c r="D55" s="10"/>
      <c r="E55" s="19" t="s">
        <v>90</v>
      </c>
      <c r="F55" s="10"/>
      <c r="G55" s="19" t="s">
        <v>90</v>
      </c>
      <c r="H55" s="10"/>
      <c r="I55" s="10"/>
      <c r="J55" s="10"/>
      <c r="K55" s="10"/>
      <c r="L55" s="10"/>
      <c r="M55" s="10"/>
      <c r="N55" s="10"/>
      <c r="O55" s="10"/>
      <c r="P55" s="10"/>
      <c r="Q55" s="15"/>
      <c r="R55" s="10"/>
      <c r="S55" s="10"/>
    </row>
    <row r="56" spans="1:19" ht="19" thickBot="1">
      <c r="A56" s="5"/>
      <c r="B56" s="6"/>
      <c r="C56" s="16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8"/>
      <c r="R56" s="10"/>
      <c r="S56" s="10"/>
    </row>
    <row r="58" spans="1:19">
      <c r="A58" s="22" t="s">
        <v>34</v>
      </c>
      <c r="B58" s="22"/>
    </row>
    <row r="59" spans="1:19">
      <c r="A59" s="22"/>
      <c r="B59" s="22"/>
    </row>
    <row r="60" spans="1:19">
      <c r="A60" s="22"/>
      <c r="B60" s="22"/>
    </row>
    <row r="61" spans="1:19">
      <c r="A61" s="22" t="s">
        <v>67</v>
      </c>
      <c r="B61" s="22"/>
    </row>
    <row r="62" spans="1:19">
      <c r="A62" s="22"/>
      <c r="B62" s="22"/>
    </row>
    <row r="63" spans="1:19">
      <c r="A63" s="22"/>
      <c r="B63" s="22"/>
    </row>
  </sheetData>
  <mergeCells count="2">
    <mergeCell ref="A58:B60"/>
    <mergeCell ref="A61:B63"/>
  </mergeCells>
  <phoneticPr fontId="1" type="noConversion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商品Database敘述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心韋 張</cp:lastModifiedBy>
  <cp:lastPrinted>2023-06-06T05:41:58Z</cp:lastPrinted>
  <dcterms:created xsi:type="dcterms:W3CDTF">2020-03-18T09:55:39Z</dcterms:created>
  <dcterms:modified xsi:type="dcterms:W3CDTF">2025-12-22T07:08:00Z</dcterms:modified>
</cp:coreProperties>
</file>