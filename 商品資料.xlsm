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1991/Desktop/"/>
    </mc:Choice>
  </mc:AlternateContent>
  <xr:revisionPtr revIDLastSave="0" documentId="13_ncr:1_{352041A3-FDBF-4041-B2C1-F473A08AB6F6}" xr6:coauthVersionLast="47" xr6:coauthVersionMax="47" xr10:uidLastSave="{00000000-0000-0000-0000-000000000000}"/>
  <bookViews>
    <workbookView xWindow="0" yWindow="500" windowWidth="28800" windowHeight="15760" activeTab="2" xr2:uid="{F1991295-AEDD-AC42-8ADD-C229A88980FB}"/>
  </bookViews>
  <sheets>
    <sheet name="工作暫存區" sheetId="11" state="hidden" r:id="rId1"/>
    <sheet name="商品Database(Key保障內容）" sheetId="5" r:id="rId2"/>
    <sheet name="商品Database2(Key基準數)" sheetId="6" r:id="rId3"/>
    <sheet name="商品Database敘述" sheetId="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6" l="1"/>
  <c r="A14" i="6"/>
  <c r="A20" i="6"/>
  <c r="AN47" i="6"/>
  <c r="AM47" i="6"/>
  <c r="AL47" i="6"/>
  <c r="AK47" i="6"/>
  <c r="AJ47" i="6"/>
  <c r="AI47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F47" i="6"/>
  <c r="C42" i="6" l="1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42" i="6"/>
  <c r="A43" i="6"/>
  <c r="A41" i="8" l="1"/>
  <c r="AB41" i="6"/>
  <c r="A41" i="6"/>
  <c r="AB40" i="6"/>
  <c r="A40" i="6"/>
  <c r="A39" i="6"/>
  <c r="A38" i="6" l="1"/>
  <c r="A37" i="6"/>
  <c r="A36" i="6"/>
  <c r="A35" i="6"/>
  <c r="A34" i="6"/>
  <c r="A33" i="8" l="1"/>
  <c r="A31" i="8"/>
  <c r="A30" i="8"/>
  <c r="A29" i="8"/>
  <c r="A33" i="6"/>
  <c r="A31" i="6"/>
  <c r="A30" i="6"/>
  <c r="A3" i="6"/>
  <c r="A4" i="6"/>
  <c r="A5" i="6"/>
  <c r="A6" i="6"/>
  <c r="A8" i="6"/>
  <c r="A9" i="6"/>
  <c r="A10" i="6"/>
  <c r="A11" i="6"/>
  <c r="A12" i="6"/>
  <c r="A13" i="6"/>
  <c r="A15" i="6"/>
  <c r="A16" i="6"/>
  <c r="A17" i="6"/>
  <c r="A18" i="6"/>
  <c r="A19" i="6"/>
  <c r="A22" i="6"/>
  <c r="A23" i="6"/>
  <c r="A24" i="6"/>
  <c r="A25" i="6"/>
  <c r="A26" i="6"/>
  <c r="A27" i="6"/>
  <c r="A28" i="6"/>
  <c r="A29" i="6"/>
  <c r="L14" i="11" l="1"/>
  <c r="L30" i="11"/>
  <c r="E4" i="11"/>
  <c r="L4" i="11" s="1"/>
  <c r="E5" i="11"/>
  <c r="L5" i="11" s="1"/>
  <c r="E6" i="11"/>
  <c r="L6" i="11" s="1"/>
  <c r="E7" i="11"/>
  <c r="L7" i="11" s="1"/>
  <c r="E8" i="11"/>
  <c r="L8" i="11" s="1"/>
  <c r="E9" i="11"/>
  <c r="L9" i="11" s="1"/>
  <c r="E10" i="11"/>
  <c r="L10" i="11" s="1"/>
  <c r="E11" i="11"/>
  <c r="L11" i="11" s="1"/>
  <c r="E12" i="11"/>
  <c r="L12" i="11" s="1"/>
  <c r="E13" i="11"/>
  <c r="L13" i="11" s="1"/>
  <c r="E14" i="11"/>
  <c r="E15" i="11"/>
  <c r="L15" i="11" s="1"/>
  <c r="E16" i="11"/>
  <c r="L16" i="11" s="1"/>
  <c r="E17" i="11"/>
  <c r="L17" i="11" s="1"/>
  <c r="E18" i="11"/>
  <c r="L18" i="11" s="1"/>
  <c r="E19" i="11"/>
  <c r="L19" i="11" s="1"/>
  <c r="E20" i="11"/>
  <c r="L20" i="11" s="1"/>
  <c r="E21" i="11"/>
  <c r="L21" i="11" s="1"/>
  <c r="E22" i="11"/>
  <c r="L22" i="11" s="1"/>
  <c r="E23" i="11"/>
  <c r="L23" i="11" s="1"/>
  <c r="E24" i="11"/>
  <c r="L24" i="11" s="1"/>
  <c r="E25" i="11"/>
  <c r="L25" i="11" s="1"/>
  <c r="E26" i="11"/>
  <c r="L26" i="11" s="1"/>
  <c r="E27" i="11"/>
  <c r="L27" i="11" s="1"/>
  <c r="E28" i="11"/>
  <c r="L28" i="11" s="1"/>
  <c r="E29" i="11"/>
  <c r="L29" i="11" s="1"/>
  <c r="E30" i="11"/>
  <c r="E31" i="11"/>
  <c r="L31" i="11" s="1"/>
  <c r="E32" i="11"/>
  <c r="L32" i="11" s="1"/>
  <c r="E33" i="11"/>
  <c r="L33" i="11" s="1"/>
  <c r="E34" i="11"/>
  <c r="L34" i="11" s="1"/>
  <c r="E35" i="11"/>
  <c r="L35" i="11" s="1"/>
  <c r="E36" i="11"/>
  <c r="L36" i="11" s="1"/>
  <c r="E37" i="11"/>
  <c r="L37" i="11" s="1"/>
  <c r="E38" i="11"/>
  <c r="L38" i="11" s="1"/>
  <c r="E39" i="11"/>
  <c r="L39" i="11" s="1"/>
  <c r="E40" i="11"/>
  <c r="L40" i="11" s="1"/>
  <c r="E41" i="11"/>
  <c r="L41" i="11" s="1"/>
  <c r="E42" i="11"/>
  <c r="L42" i="11" s="1"/>
  <c r="E43" i="11"/>
  <c r="L43" i="11" s="1"/>
  <c r="E44" i="11"/>
  <c r="L44" i="11" s="1"/>
  <c r="E45" i="11"/>
  <c r="L45" i="11" s="1"/>
  <c r="E46" i="11"/>
  <c r="L46" i="11" s="1"/>
  <c r="E47" i="11"/>
  <c r="L47" i="11" s="1"/>
  <c r="E3" i="11"/>
  <c r="L3" i="11" s="1"/>
  <c r="M22" i="11" l="1"/>
  <c r="AG27" i="6" l="1"/>
  <c r="AH27" i="6"/>
  <c r="AC27" i="6"/>
  <c r="AD27" i="6"/>
  <c r="C27" i="6" l="1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E27" i="6"/>
  <c r="AF27" i="6"/>
  <c r="AI27" i="6"/>
  <c r="AJ27" i="6"/>
  <c r="AK27" i="6"/>
  <c r="AL27" i="6"/>
  <c r="AM27" i="6"/>
  <c r="AN27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C46" i="6"/>
  <c r="D46" i="6"/>
  <c r="F46" i="6"/>
  <c r="G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G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C60" i="6"/>
  <c r="D60" i="6"/>
  <c r="F60" i="6"/>
  <c r="G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B26" i="6" l="1"/>
  <c r="N2" i="6"/>
  <c r="O2" i="6"/>
  <c r="C4" i="6" l="1"/>
  <c r="D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AI4" i="6"/>
  <c r="AJ4" i="6"/>
  <c r="AK4" i="6"/>
  <c r="AL4" i="6"/>
  <c r="AM4" i="6"/>
  <c r="AN4" i="6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AN5" i="6"/>
  <c r="C6" i="6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C7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C8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E16" i="6"/>
  <c r="AF16" i="6"/>
  <c r="AG16" i="6"/>
  <c r="AH16" i="6"/>
  <c r="AI16" i="6"/>
  <c r="AJ16" i="6"/>
  <c r="AK16" i="6"/>
  <c r="AL16" i="6"/>
  <c r="AM16" i="6"/>
  <c r="AN16" i="6"/>
  <c r="C17" i="6"/>
  <c r="D17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D3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B3" i="6"/>
  <c r="AC3" i="6"/>
  <c r="AD3" i="6"/>
  <c r="AE3" i="6"/>
  <c r="AF3" i="6"/>
  <c r="AG3" i="6"/>
  <c r="AH3" i="6"/>
  <c r="AI3" i="6"/>
  <c r="AJ3" i="6"/>
  <c r="AK3" i="6"/>
  <c r="AL3" i="6"/>
  <c r="AM3" i="6"/>
  <c r="AN3" i="6"/>
  <c r="C3" i="6"/>
  <c r="D2" i="6"/>
  <c r="E2" i="6"/>
  <c r="F2" i="6"/>
  <c r="G2" i="6"/>
  <c r="H2" i="6"/>
  <c r="I2" i="6"/>
  <c r="J2" i="6"/>
  <c r="K2" i="6"/>
  <c r="L2" i="6"/>
  <c r="M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C2" i="6"/>
</calcChain>
</file>

<file path=xl/sharedStrings.xml><?xml version="1.0" encoding="utf-8"?>
<sst xmlns="http://schemas.openxmlformats.org/spreadsheetml/2006/main" count="320" uniqueCount="163">
  <si>
    <t>重大疾病</t>
    <phoneticPr fontId="1" type="noConversion"/>
  </si>
  <si>
    <t>癌症住院日額</t>
    <phoneticPr fontId="1" type="noConversion"/>
  </si>
  <si>
    <t>住院前後門診</t>
    <phoneticPr fontId="1" type="noConversion"/>
  </si>
  <si>
    <t>骨折未住院</t>
    <phoneticPr fontId="1" type="noConversion"/>
  </si>
  <si>
    <t>初次罹癌</t>
    <phoneticPr fontId="1" type="noConversion"/>
  </si>
  <si>
    <t>癌症身故</t>
    <phoneticPr fontId="1" type="noConversion"/>
  </si>
  <si>
    <t>骨髓移植</t>
    <phoneticPr fontId="1" type="noConversion"/>
  </si>
  <si>
    <t>長期照護狀態</t>
    <phoneticPr fontId="1" type="noConversion"/>
  </si>
  <si>
    <t>商品代碼</t>
    <phoneticPr fontId="1" type="noConversion"/>
  </si>
  <si>
    <t>基準數</t>
    <phoneticPr fontId="1" type="noConversion"/>
  </si>
  <si>
    <t>住院日額合計</t>
    <phoneticPr fontId="1" type="noConversion"/>
  </si>
  <si>
    <t>加護病房合計</t>
    <phoneticPr fontId="1" type="noConversion"/>
  </si>
  <si>
    <t>住院手術看護</t>
    <phoneticPr fontId="1" type="noConversion"/>
  </si>
  <si>
    <t>門診手術定額</t>
    <phoneticPr fontId="1" type="noConversion"/>
  </si>
  <si>
    <t>住院雜費下限</t>
    <phoneticPr fontId="1" type="noConversion"/>
  </si>
  <si>
    <t>住院雜費上限</t>
    <phoneticPr fontId="1" type="noConversion"/>
  </si>
  <si>
    <t>意外住院日額合計</t>
    <phoneticPr fontId="1" type="noConversion"/>
  </si>
  <si>
    <t>意外加護病房合計</t>
    <phoneticPr fontId="1" type="noConversion"/>
  </si>
  <si>
    <t>意外住院手術定額</t>
    <phoneticPr fontId="1" type="noConversion"/>
  </si>
  <si>
    <t>意外門診手術定額</t>
    <phoneticPr fontId="1" type="noConversion"/>
  </si>
  <si>
    <t>意外雜費</t>
    <phoneticPr fontId="1" type="noConversion"/>
  </si>
  <si>
    <t>意外身故傷殘</t>
    <phoneticPr fontId="1" type="noConversion"/>
  </si>
  <si>
    <t>癌症加護病房</t>
    <phoneticPr fontId="1" type="noConversion"/>
  </si>
  <si>
    <t>癌症住院手術定額</t>
    <phoneticPr fontId="1" type="noConversion"/>
  </si>
  <si>
    <t>癌症門診</t>
    <phoneticPr fontId="1" type="noConversion"/>
  </si>
  <si>
    <t>癌症放化療</t>
    <phoneticPr fontId="1" type="noConversion"/>
  </si>
  <si>
    <t>重大疾病一次</t>
    <phoneticPr fontId="1" type="noConversion"/>
  </si>
  <si>
    <t>長照疾病一次</t>
    <phoneticPr fontId="1" type="noConversion"/>
  </si>
  <si>
    <t>長照意外一次</t>
    <phoneticPr fontId="1" type="noConversion"/>
  </si>
  <si>
    <t>疾病特傷每月</t>
    <phoneticPr fontId="1" type="noConversion"/>
  </si>
  <si>
    <t>意外特傷每月</t>
    <phoneticPr fontId="1" type="noConversion"/>
  </si>
  <si>
    <t>疾病1-3每月</t>
    <phoneticPr fontId="1" type="noConversion"/>
  </si>
  <si>
    <t>意外1-3每月</t>
    <phoneticPr fontId="1" type="noConversion"/>
  </si>
  <si>
    <t>疾病4-6每月</t>
    <phoneticPr fontId="1" type="noConversion"/>
  </si>
  <si>
    <t>意外4-6每月</t>
    <phoneticPr fontId="1" type="noConversion"/>
  </si>
  <si>
    <t>疾病長照狀態每月</t>
    <phoneticPr fontId="1" type="noConversion"/>
  </si>
  <si>
    <t>意外長照狀態每月</t>
    <phoneticPr fontId="1" type="noConversion"/>
  </si>
  <si>
    <t>意外認知障礙每月</t>
    <phoneticPr fontId="1" type="noConversion"/>
  </si>
  <si>
    <t>疾病認知障礙每月</t>
    <phoneticPr fontId="1" type="noConversion"/>
  </si>
  <si>
    <t>JOEBAA</t>
    <phoneticPr fontId="1" type="noConversion"/>
  </si>
  <si>
    <t>JOEBDA</t>
    <phoneticPr fontId="1" type="noConversion"/>
  </si>
  <si>
    <t>FCTR</t>
    <phoneticPr fontId="1" type="noConversion"/>
  </si>
  <si>
    <t>DPAA</t>
    <phoneticPr fontId="1" type="noConversion"/>
  </si>
  <si>
    <t>住院手術定額</t>
    <phoneticPr fontId="1" type="noConversion"/>
  </si>
  <si>
    <t>LEGORA</t>
    <phoneticPr fontId="1" type="noConversion"/>
  </si>
  <si>
    <t>住院手術實支實付</t>
    <phoneticPr fontId="1" type="noConversion"/>
  </si>
  <si>
    <t>門診手術實支實付</t>
    <phoneticPr fontId="1" type="noConversion"/>
  </si>
  <si>
    <t>LEGOQA</t>
    <phoneticPr fontId="1" type="noConversion"/>
  </si>
  <si>
    <t>LEGOWA</t>
    <phoneticPr fontId="1" type="noConversion"/>
  </si>
  <si>
    <t>MAJIAA</t>
    <phoneticPr fontId="1" type="noConversion"/>
  </si>
  <si>
    <t>MT</t>
    <phoneticPr fontId="1" type="noConversion"/>
  </si>
  <si>
    <t>ML</t>
    <phoneticPr fontId="1" type="noConversion"/>
  </si>
  <si>
    <t>APAED</t>
    <phoneticPr fontId="1" type="noConversion"/>
  </si>
  <si>
    <t>FNHRL</t>
    <phoneticPr fontId="1" type="noConversion"/>
  </si>
  <si>
    <t>LEGOCF</t>
    <phoneticPr fontId="1" type="noConversion"/>
  </si>
  <si>
    <t>LEGOAD</t>
    <phoneticPr fontId="1" type="noConversion"/>
  </si>
  <si>
    <t>LEGOHE</t>
    <phoneticPr fontId="1" type="noConversion"/>
  </si>
  <si>
    <t>LEGOEF</t>
    <phoneticPr fontId="1" type="noConversion"/>
  </si>
  <si>
    <t>LSCN</t>
    <phoneticPr fontId="1" type="noConversion"/>
  </si>
  <si>
    <t>LEGONC</t>
    <phoneticPr fontId="1" type="noConversion"/>
  </si>
  <si>
    <t>LEGOUC</t>
    <phoneticPr fontId="1" type="noConversion"/>
  </si>
  <si>
    <t>LEGOYC</t>
    <phoneticPr fontId="1" type="noConversion"/>
  </si>
  <si>
    <t>KDDR</t>
    <phoneticPr fontId="1" type="noConversion"/>
  </si>
  <si>
    <t>LEGOIC</t>
    <phoneticPr fontId="1" type="noConversion"/>
  </si>
  <si>
    <t>IHLR</t>
    <phoneticPr fontId="1" type="noConversion"/>
  </si>
  <si>
    <t>WDDR</t>
    <phoneticPr fontId="1" type="noConversion"/>
  </si>
  <si>
    <t>LEGOBD</t>
    <phoneticPr fontId="1" type="noConversion"/>
  </si>
  <si>
    <t>[實支實付與定額給付，擇優給付]</t>
    <phoneticPr fontId="1" type="noConversion"/>
  </si>
  <si>
    <t>[一般病房與加護病房合併給付]</t>
    <phoneticPr fontId="1" type="noConversion"/>
  </si>
  <si>
    <t>LEGOXB</t>
    <phoneticPr fontId="1" type="noConversion"/>
  </si>
  <si>
    <t>備註：商品更新後代碼需要複製貼上</t>
    <phoneticPr fontId="1" type="noConversion"/>
  </si>
  <si>
    <t>[65歲後住院日額增加]</t>
    <phoneticPr fontId="1" type="noConversion"/>
  </si>
  <si>
    <t>[乘以給付比率，最高486%，另有手術看護金]</t>
    <phoneticPr fontId="1" type="noConversion"/>
  </si>
  <si>
    <t>備註(住院手術定額)</t>
    <phoneticPr fontId="1" type="noConversion"/>
  </si>
  <si>
    <t>[乘以給付比率，最高486%，另有重大手術關懷金]</t>
    <phoneticPr fontId="1" type="noConversion"/>
  </si>
  <si>
    <t>備註(住院手術實支)</t>
    <phoneticPr fontId="1" type="noConversion"/>
  </si>
  <si>
    <t>[特定手術5倍給付]</t>
    <phoneticPr fontId="1" type="noConversion"/>
  </si>
  <si>
    <t>[乘以給付比率 5% - 500%]</t>
    <phoneticPr fontId="1" type="noConversion"/>
  </si>
  <si>
    <t>住院日額</t>
    <phoneticPr fontId="1" type="noConversion"/>
  </si>
  <si>
    <t>加護病房</t>
    <phoneticPr fontId="1" type="noConversion"/>
  </si>
  <si>
    <t xml:space="preserve"> [另有特定處置保險金]</t>
    <phoneticPr fontId="1" type="noConversion"/>
  </si>
  <si>
    <t>[附約手術給付比率最高300%]</t>
    <phoneticPr fontId="1" type="noConversion"/>
  </si>
  <si>
    <t>門診手術實支</t>
    <phoneticPr fontId="1" type="noConversion"/>
  </si>
  <si>
    <t>[另有特定處置保險金]</t>
    <phoneticPr fontId="1" type="noConversion"/>
  </si>
  <si>
    <t>住院實支</t>
    <phoneticPr fontId="1" type="noConversion"/>
  </si>
  <si>
    <t>[實支實付；高貴醫材藥材、標靶藥物，保險公司買單]</t>
    <phoneticPr fontId="1" type="noConversion"/>
  </si>
  <si>
    <t>意外住院手術</t>
    <phoneticPr fontId="1" type="noConversion"/>
  </si>
  <si>
    <t>[意外手術最高3倍]</t>
    <phoneticPr fontId="1" type="noConversion"/>
  </si>
  <si>
    <t>[特定癌症另行給付]</t>
    <phoneticPr fontId="1" type="noConversion"/>
  </si>
  <si>
    <t>[部分給付需取得重大傷病卡]</t>
    <phoneticPr fontId="1" type="noConversion"/>
  </si>
  <si>
    <t>[終身醫療另有身故還本金]</t>
  </si>
  <si>
    <t>癌症日額</t>
    <phoneticPr fontId="1" type="noConversion"/>
  </si>
  <si>
    <t>[安寧病房亦理賠]</t>
    <phoneticPr fontId="1" type="noConversion"/>
  </si>
  <si>
    <t>[給付日數無上限]</t>
    <phoneticPr fontId="1" type="noConversion"/>
  </si>
  <si>
    <t>癌症手術</t>
    <phoneticPr fontId="1" type="noConversion"/>
  </si>
  <si>
    <t xml:space="preserve"> [理賠含併發症與新癌症]</t>
    <phoneticPr fontId="1" type="noConversion"/>
  </si>
  <si>
    <t>[重大傷病卡型，只要核發重大傷病卡則理賠]</t>
  </si>
  <si>
    <t>失能扶助每月</t>
    <phoneticPr fontId="1" type="noConversion"/>
  </si>
  <si>
    <t>[意外部分給付有次數限制]</t>
    <phoneticPr fontId="1" type="noConversion"/>
  </si>
  <si>
    <t>[給付最多50年或到85歲]</t>
    <phoneticPr fontId="1" type="noConversion"/>
  </si>
  <si>
    <t>JOEBBC</t>
    <phoneticPr fontId="1" type="noConversion"/>
  </si>
  <si>
    <t>[給付最多20年]</t>
    <phoneticPr fontId="1" type="noConversion"/>
  </si>
  <si>
    <t>[最多給付16年]</t>
    <phoneticPr fontId="1" type="noConversion"/>
  </si>
  <si>
    <t>備註：敘述也要複製貼上</t>
    <phoneticPr fontId="1" type="noConversion"/>
  </si>
  <si>
    <t>年齡</t>
    <phoneticPr fontId="1" type="noConversion"/>
  </si>
  <si>
    <t>保單年度</t>
    <phoneticPr fontId="1" type="noConversion"/>
  </si>
  <si>
    <t>MAJIQA</t>
    <phoneticPr fontId="1" type="noConversion"/>
  </si>
  <si>
    <t>GNHRL</t>
    <phoneticPr fontId="1" type="noConversion"/>
  </si>
  <si>
    <t>XDDR</t>
    <phoneticPr fontId="1" type="noConversion"/>
  </si>
  <si>
    <t>JHLR</t>
    <phoneticPr fontId="1" type="noConversion"/>
  </si>
  <si>
    <t>EPAA</t>
    <phoneticPr fontId="1" type="noConversion"/>
  </si>
  <si>
    <t>LEGOCG</t>
    <phoneticPr fontId="1" type="noConversion"/>
  </si>
  <si>
    <t>LEGOAE</t>
    <phoneticPr fontId="1" type="noConversion"/>
  </si>
  <si>
    <t>MSCN</t>
    <phoneticPr fontId="1" type="noConversion"/>
  </si>
  <si>
    <t>LEGOHF</t>
    <phoneticPr fontId="1" type="noConversion"/>
  </si>
  <si>
    <t>MAJIMB</t>
    <phoneticPr fontId="1" type="noConversion"/>
  </si>
  <si>
    <t>[手術險最高理賠80倍，另有老年重大手術1.5倍給付]</t>
    <phoneticPr fontId="1" type="noConversion"/>
  </si>
  <si>
    <t>[手術險最高理賠80倍，另有老年重大手術1.5倍給付][處置亦有理賠]</t>
    <phoneticPr fontId="1" type="noConversion"/>
  </si>
  <si>
    <t>MAJISA</t>
    <phoneticPr fontId="1" type="noConversion"/>
  </si>
  <si>
    <t>[乘以給付比率 30% - 800%]</t>
    <phoneticPr fontId="1" type="noConversion"/>
  </si>
  <si>
    <t>MAJIEA</t>
    <phoneticPr fontId="1" type="noConversion"/>
  </si>
  <si>
    <t>[重大傷病及特定疾病混合型，重大傷病證明或符合特定疾病定義皆有理賠]</t>
    <phoneticPr fontId="1" type="noConversion"/>
  </si>
  <si>
    <t>MAJIXA</t>
    <phoneticPr fontId="1" type="noConversion"/>
  </si>
  <si>
    <t>[原位癌及輕度癌症亦按比例理賠]</t>
    <phoneticPr fontId="1" type="noConversion"/>
  </si>
  <si>
    <t>[門診手術最高8倍、特定處置最高4倍]</t>
    <phoneticPr fontId="1" type="noConversion"/>
  </si>
  <si>
    <t>[實支實付；高貴醫材藥材、標靶藥物，保險公司買單][住院期間曾住加護病房，額度加倍]</t>
    <phoneticPr fontId="1" type="noConversion"/>
  </si>
  <si>
    <t>OCH</t>
    <phoneticPr fontId="1" type="noConversion"/>
  </si>
  <si>
    <t>[融通給付]</t>
    <phoneticPr fontId="1" type="noConversion"/>
  </si>
  <si>
    <t>MAJIYA</t>
    <phoneticPr fontId="1" type="noConversion"/>
  </si>
  <si>
    <t>[最多給付15年]</t>
    <phoneticPr fontId="1" type="noConversion"/>
  </si>
  <si>
    <t>MAHUAA</t>
    <phoneticPr fontId="1" type="noConversion"/>
  </si>
  <si>
    <t>[終身醫療另有身故還本金]</t>
    <phoneticPr fontId="1" type="noConversion"/>
  </si>
  <si>
    <t>[乘以給付比率，最高80倍][特定處置、創傷縫合有賠]</t>
    <phoneticPr fontId="1" type="noConversion"/>
  </si>
  <si>
    <t>[乘以給付比率，最高80倍，另有手術看護金、重大手術慰問金、特定醫材補助金]</t>
    <phoneticPr fontId="1" type="noConversion"/>
  </si>
  <si>
    <t>[五項特定傷病]</t>
    <phoneticPr fontId="1" type="noConversion"/>
  </si>
  <si>
    <t>MAJIUA</t>
    <phoneticPr fontId="1" type="noConversion"/>
  </si>
  <si>
    <t>[手術險乘以給付比率，最高80倍，特定處置有賠]</t>
    <phoneticPr fontId="1" type="noConversion"/>
  </si>
  <si>
    <t>MAJIWA</t>
    <phoneticPr fontId="1" type="noConversion"/>
  </si>
  <si>
    <t>心超1</t>
    <phoneticPr fontId="1" type="noConversion"/>
  </si>
  <si>
    <t>[費用與雜費共用]</t>
    <phoneticPr fontId="1" type="noConversion"/>
  </si>
  <si>
    <t>[實支實付與定額給付，擇優給付，另有住院關懷金1,100]</t>
    <phoneticPr fontId="1" type="noConversion"/>
  </si>
  <si>
    <t>[另有特定處置保險金15,000]</t>
    <phoneticPr fontId="1" type="noConversion"/>
  </si>
  <si>
    <t>MTA</t>
    <phoneticPr fontId="1" type="noConversion"/>
  </si>
  <si>
    <t>MAHUEA</t>
    <phoneticPr fontId="1" type="noConversion"/>
  </si>
  <si>
    <t>MAHUGA</t>
    <phoneticPr fontId="1" type="noConversion"/>
  </si>
  <si>
    <t>[實支實付與定額給付，擇優給付，另有住院關懷金]</t>
    <phoneticPr fontId="1" type="noConversion"/>
  </si>
  <si>
    <t>LEGOTA</t>
    <phoneticPr fontId="1" type="noConversion"/>
  </si>
  <si>
    <t>[自付額15,000]</t>
    <phoneticPr fontId="1" type="noConversion"/>
  </si>
  <si>
    <t>[實支實付日額，需扣自付額500]</t>
    <phoneticPr fontId="1" type="noConversion"/>
  </si>
  <si>
    <t>[費用與雜費共用，需扣自付額50,000]</t>
    <phoneticPr fontId="1" type="noConversion"/>
  </si>
  <si>
    <t>MAHUIA</t>
    <phoneticPr fontId="1" type="noConversion"/>
  </si>
  <si>
    <t>MAHUAB</t>
    <phoneticPr fontId="1" type="noConversion"/>
  </si>
  <si>
    <t>MAJIYB</t>
    <phoneticPr fontId="1" type="noConversion"/>
  </si>
  <si>
    <t>MAHUHA</t>
    <phoneticPr fontId="1" type="noConversion"/>
  </si>
  <si>
    <t>YDDR</t>
    <phoneticPr fontId="1" type="noConversion"/>
  </si>
  <si>
    <t>KHLR</t>
    <phoneticPr fontId="1" type="noConversion"/>
  </si>
  <si>
    <t>AADDC</t>
    <phoneticPr fontId="1" type="noConversion"/>
  </si>
  <si>
    <t>[另有照護金，最給付多五年]</t>
    <phoneticPr fontId="1" type="noConversion"/>
  </si>
  <si>
    <t>ABDDC</t>
    <phoneticPr fontId="1" type="noConversion"/>
  </si>
  <si>
    <t>MAHUJA</t>
    <phoneticPr fontId="1" type="noConversion"/>
  </si>
  <si>
    <t>MAHUGA1</t>
    <phoneticPr fontId="1" type="noConversion"/>
  </si>
  <si>
    <t>AAHSR</t>
    <phoneticPr fontId="1" type="noConversion"/>
  </si>
  <si>
    <t>AAHOP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</si>
</sst>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rgb="FFFF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6"/>
      <color theme="1"/>
      <name val="Taipei Sans TC Beta Regula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4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3" borderId="0" xfId="0" applyFont="1" applyFill="1">
      <alignment vertical="center"/>
    </xf>
    <xf numFmtId="0" fontId="3" fillId="6" borderId="0" xfId="0" applyFont="1" applyFill="1">
      <alignment vertical="center"/>
    </xf>
    <xf numFmtId="0" fontId="3" fillId="7" borderId="0" xfId="0" applyFont="1" applyFill="1">
      <alignment vertical="center"/>
    </xf>
    <xf numFmtId="49" fontId="2" fillId="0" borderId="6" xfId="0" applyNumberFormat="1" applyFont="1" applyBorder="1">
      <alignment vertical="center"/>
    </xf>
    <xf numFmtId="0" fontId="2" fillId="0" borderId="5" xfId="0" applyFont="1" applyBorder="1">
      <alignment vertical="center"/>
    </xf>
    <xf numFmtId="0" fontId="3" fillId="4" borderId="5" xfId="0" applyFont="1" applyFill="1" applyBorder="1">
      <alignment vertical="center"/>
    </xf>
    <xf numFmtId="0" fontId="3" fillId="5" borderId="5" xfId="0" applyFont="1" applyFill="1" applyBorder="1">
      <alignment vertical="center"/>
    </xf>
    <xf numFmtId="0" fontId="3" fillId="3" borderId="5" xfId="0" applyFont="1" applyFill="1" applyBorder="1">
      <alignment vertical="center"/>
    </xf>
    <xf numFmtId="0" fontId="3" fillId="6" borderId="5" xfId="0" applyFont="1" applyFill="1" applyBorder="1">
      <alignment vertical="center"/>
    </xf>
    <xf numFmtId="0" fontId="3" fillId="7" borderId="5" xfId="0" applyFont="1" applyFill="1" applyBorder="1">
      <alignment vertical="center"/>
    </xf>
    <xf numFmtId="0" fontId="3" fillId="5" borderId="1" xfId="0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4" xfId="0" applyFont="1" applyBorder="1">
      <alignment vertical="center"/>
    </xf>
    <xf numFmtId="0" fontId="2" fillId="2" borderId="0" xfId="0" applyFont="1" applyFill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2" fillId="8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3" fillId="5" borderId="9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</cellXfs>
  <cellStyles count="2">
    <cellStyle name="一般" xfId="0" builtinId="0"/>
    <cellStyle name="一般 2" xfId="1" xr:uid="{B5E5DD83-CA46-B944-BF0A-A1E290A11E89}"/>
  </cellStyles>
  <dxfs count="0"/>
  <tableStyles count="0" defaultTableStyle="TableStyleMedium2" defaultPivotStyle="PivotStyleLight16"/>
  <colors>
    <mruColors>
      <color rgb="FFFF8AD8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FC50C-201A-634B-A828-B21FEA438CF4}">
  <dimension ref="A2:M47"/>
  <sheetViews>
    <sheetView topLeftCell="A20" zoomScale="68" workbookViewId="0">
      <selection activeCell="E8" sqref="E8"/>
    </sheetView>
  </sheetViews>
  <sheetFormatPr baseColWidth="10" defaultColWidth="19" defaultRowHeight="36" customHeight="1"/>
  <cols>
    <col min="1" max="3" width="19" style="24"/>
    <col min="4" max="4" width="9.33203125" style="24" hidden="1" customWidth="1"/>
    <col min="5" max="16384" width="19" style="24"/>
  </cols>
  <sheetData>
    <row r="2" spans="1:12" ht="36" customHeight="1">
      <c r="A2" s="24" t="s">
        <v>105</v>
      </c>
      <c r="B2" s="24" t="s">
        <v>104</v>
      </c>
      <c r="C2" s="24" t="s">
        <v>53</v>
      </c>
      <c r="D2" s="24" t="s">
        <v>41</v>
      </c>
      <c r="E2" s="24" t="s">
        <v>41</v>
      </c>
      <c r="F2" s="24" t="s">
        <v>44</v>
      </c>
      <c r="G2" s="24" t="s">
        <v>42</v>
      </c>
      <c r="H2" s="24" t="s">
        <v>50</v>
      </c>
      <c r="I2" s="24" t="s">
        <v>51</v>
      </c>
      <c r="J2" s="24" t="s">
        <v>52</v>
      </c>
      <c r="K2" s="24" t="s">
        <v>49</v>
      </c>
    </row>
    <row r="3" spans="1:12" ht="36" customHeight="1">
      <c r="A3" s="24">
        <v>1</v>
      </c>
      <c r="B3" s="24">
        <v>36</v>
      </c>
      <c r="C3" s="24">
        <v>8670</v>
      </c>
      <c r="D3" s="24">
        <v>203</v>
      </c>
      <c r="E3" s="24">
        <f>D3*12</f>
        <v>2436</v>
      </c>
      <c r="F3" s="24">
        <v>5611</v>
      </c>
      <c r="G3" s="24">
        <v>930</v>
      </c>
      <c r="H3" s="24">
        <v>786</v>
      </c>
      <c r="I3" s="24">
        <v>1440</v>
      </c>
      <c r="J3" s="24">
        <v>90</v>
      </c>
      <c r="K3" s="24">
        <v>6390</v>
      </c>
      <c r="L3" s="24">
        <f>SUM(C3:K3)</f>
        <v>26556</v>
      </c>
    </row>
    <row r="4" spans="1:12" ht="36" customHeight="1">
      <c r="A4" s="24">
        <v>2</v>
      </c>
      <c r="B4" s="24">
        <v>37</v>
      </c>
      <c r="C4" s="24">
        <v>8670</v>
      </c>
      <c r="D4" s="24">
        <v>203</v>
      </c>
      <c r="E4" s="24">
        <f t="shared" ref="E4:E47" si="0">D4*12</f>
        <v>2436</v>
      </c>
      <c r="F4" s="24">
        <v>5611</v>
      </c>
      <c r="G4" s="24">
        <v>930</v>
      </c>
      <c r="H4" s="24">
        <v>786</v>
      </c>
      <c r="I4" s="24">
        <v>1440</v>
      </c>
      <c r="J4" s="24">
        <v>90</v>
      </c>
      <c r="K4" s="24">
        <v>6390</v>
      </c>
      <c r="L4" s="24">
        <f t="shared" ref="L4:L47" si="1">SUM(C4:K4)</f>
        <v>26556</v>
      </c>
    </row>
    <row r="5" spans="1:12" ht="36" customHeight="1">
      <c r="A5" s="24">
        <v>3</v>
      </c>
      <c r="B5" s="24">
        <v>38</v>
      </c>
      <c r="C5" s="24">
        <v>8670</v>
      </c>
      <c r="D5" s="24">
        <v>203</v>
      </c>
      <c r="E5" s="24">
        <f t="shared" si="0"/>
        <v>2436</v>
      </c>
      <c r="F5" s="24">
        <v>5611</v>
      </c>
      <c r="G5" s="24">
        <v>930</v>
      </c>
      <c r="H5" s="24">
        <v>786</v>
      </c>
      <c r="I5" s="24">
        <v>1440</v>
      </c>
      <c r="J5" s="24">
        <v>90</v>
      </c>
      <c r="K5" s="24">
        <v>6390</v>
      </c>
      <c r="L5" s="24">
        <f t="shared" si="1"/>
        <v>26556</v>
      </c>
    </row>
    <row r="6" spans="1:12" ht="36" customHeight="1">
      <c r="A6" s="24">
        <v>4</v>
      </c>
      <c r="B6" s="24">
        <v>39</v>
      </c>
      <c r="C6" s="24">
        <v>8670</v>
      </c>
      <c r="D6" s="24">
        <v>203</v>
      </c>
      <c r="E6" s="24">
        <f t="shared" si="0"/>
        <v>2436</v>
      </c>
      <c r="F6" s="24">
        <v>5611</v>
      </c>
      <c r="G6" s="24">
        <v>930</v>
      </c>
      <c r="H6" s="24">
        <v>786</v>
      </c>
      <c r="I6" s="24">
        <v>1440</v>
      </c>
      <c r="J6" s="24">
        <v>90</v>
      </c>
      <c r="K6" s="24">
        <v>6390</v>
      </c>
      <c r="L6" s="24">
        <f t="shared" si="1"/>
        <v>26556</v>
      </c>
    </row>
    <row r="7" spans="1:12" ht="36" customHeight="1">
      <c r="A7" s="24">
        <v>5</v>
      </c>
      <c r="B7" s="24">
        <v>40</v>
      </c>
      <c r="C7" s="24">
        <v>8670</v>
      </c>
      <c r="D7" s="24">
        <v>203</v>
      </c>
      <c r="E7" s="24">
        <f t="shared" si="0"/>
        <v>2436</v>
      </c>
      <c r="F7" s="24">
        <v>5611</v>
      </c>
      <c r="G7" s="24">
        <v>930</v>
      </c>
      <c r="H7" s="24">
        <v>786</v>
      </c>
      <c r="I7" s="24">
        <v>1440</v>
      </c>
      <c r="J7" s="24">
        <v>90</v>
      </c>
      <c r="K7" s="24">
        <v>6390</v>
      </c>
      <c r="L7" s="24">
        <f t="shared" si="1"/>
        <v>26556</v>
      </c>
    </row>
    <row r="8" spans="1:12" ht="36" customHeight="1">
      <c r="A8" s="24">
        <v>6</v>
      </c>
      <c r="B8" s="24">
        <v>41</v>
      </c>
      <c r="C8" s="24">
        <v>8670</v>
      </c>
      <c r="D8" s="24">
        <v>317</v>
      </c>
      <c r="E8" s="24">
        <f t="shared" si="0"/>
        <v>3804</v>
      </c>
      <c r="F8" s="24">
        <v>5611</v>
      </c>
      <c r="G8" s="24">
        <v>930</v>
      </c>
      <c r="H8" s="24">
        <v>786</v>
      </c>
      <c r="I8" s="24">
        <v>1440</v>
      </c>
      <c r="J8" s="24">
        <v>90</v>
      </c>
      <c r="K8" s="24">
        <v>9330</v>
      </c>
      <c r="L8" s="24">
        <f t="shared" si="1"/>
        <v>30978</v>
      </c>
    </row>
    <row r="9" spans="1:12" ht="36" customHeight="1">
      <c r="A9" s="24">
        <v>7</v>
      </c>
      <c r="B9" s="24">
        <v>42</v>
      </c>
      <c r="C9" s="24">
        <v>8670</v>
      </c>
      <c r="D9" s="24">
        <v>317</v>
      </c>
      <c r="E9" s="24">
        <f t="shared" si="0"/>
        <v>3804</v>
      </c>
      <c r="F9" s="24">
        <v>5611</v>
      </c>
      <c r="G9" s="24">
        <v>930</v>
      </c>
      <c r="H9" s="24">
        <v>786</v>
      </c>
      <c r="I9" s="24">
        <v>1440</v>
      </c>
      <c r="J9" s="24">
        <v>90</v>
      </c>
      <c r="K9" s="24">
        <v>9330</v>
      </c>
      <c r="L9" s="24">
        <f t="shared" si="1"/>
        <v>30978</v>
      </c>
    </row>
    <row r="10" spans="1:12" ht="36" customHeight="1">
      <c r="A10" s="24">
        <v>8</v>
      </c>
      <c r="B10" s="24">
        <v>43</v>
      </c>
      <c r="C10" s="24">
        <v>8670</v>
      </c>
      <c r="D10" s="24">
        <v>317</v>
      </c>
      <c r="E10" s="24">
        <f t="shared" si="0"/>
        <v>3804</v>
      </c>
      <c r="F10" s="24">
        <v>5611</v>
      </c>
      <c r="G10" s="24">
        <v>930</v>
      </c>
      <c r="H10" s="24">
        <v>786</v>
      </c>
      <c r="I10" s="24">
        <v>1440</v>
      </c>
      <c r="J10" s="24">
        <v>90</v>
      </c>
      <c r="K10" s="24">
        <v>9330</v>
      </c>
      <c r="L10" s="24">
        <f t="shared" si="1"/>
        <v>30978</v>
      </c>
    </row>
    <row r="11" spans="1:12" ht="36" customHeight="1">
      <c r="A11" s="24">
        <v>9</v>
      </c>
      <c r="B11" s="24">
        <v>44</v>
      </c>
      <c r="C11" s="24">
        <v>8670</v>
      </c>
      <c r="D11" s="24">
        <v>317</v>
      </c>
      <c r="E11" s="24">
        <f t="shared" si="0"/>
        <v>3804</v>
      </c>
      <c r="F11" s="24">
        <v>5611</v>
      </c>
      <c r="G11" s="24">
        <v>930</v>
      </c>
      <c r="H11" s="24">
        <v>786</v>
      </c>
      <c r="I11" s="24">
        <v>1440</v>
      </c>
      <c r="J11" s="24">
        <v>90</v>
      </c>
      <c r="K11" s="24">
        <v>9330</v>
      </c>
      <c r="L11" s="24">
        <f t="shared" si="1"/>
        <v>30978</v>
      </c>
    </row>
    <row r="12" spans="1:12" ht="36" customHeight="1">
      <c r="A12" s="24">
        <v>10</v>
      </c>
      <c r="B12" s="24">
        <v>45</v>
      </c>
      <c r="C12" s="24">
        <v>8670</v>
      </c>
      <c r="D12" s="24">
        <v>317</v>
      </c>
      <c r="E12" s="24">
        <f t="shared" si="0"/>
        <v>3804</v>
      </c>
      <c r="F12" s="24">
        <v>9190</v>
      </c>
      <c r="G12" s="24">
        <v>930</v>
      </c>
      <c r="H12" s="24">
        <v>786</v>
      </c>
      <c r="I12" s="24">
        <v>1440</v>
      </c>
      <c r="J12" s="24">
        <v>90</v>
      </c>
      <c r="K12" s="24">
        <v>9330</v>
      </c>
      <c r="L12" s="24">
        <f t="shared" si="1"/>
        <v>34557</v>
      </c>
    </row>
    <row r="13" spans="1:12" ht="36" customHeight="1">
      <c r="A13" s="24">
        <v>11</v>
      </c>
      <c r="B13" s="24">
        <v>46</v>
      </c>
      <c r="C13" s="24">
        <v>8670</v>
      </c>
      <c r="D13" s="24">
        <v>485</v>
      </c>
      <c r="E13" s="24">
        <f t="shared" si="0"/>
        <v>5820</v>
      </c>
      <c r="F13" s="24">
        <v>9190</v>
      </c>
      <c r="G13" s="24">
        <v>930</v>
      </c>
      <c r="H13" s="24">
        <v>786</v>
      </c>
      <c r="I13" s="24">
        <v>1440</v>
      </c>
      <c r="J13" s="24">
        <v>90</v>
      </c>
      <c r="K13" s="24">
        <v>13470</v>
      </c>
      <c r="L13" s="24">
        <f t="shared" si="1"/>
        <v>40881</v>
      </c>
    </row>
    <row r="14" spans="1:12" ht="36" customHeight="1">
      <c r="A14" s="24">
        <v>12</v>
      </c>
      <c r="B14" s="24">
        <v>47</v>
      </c>
      <c r="C14" s="24">
        <v>8670</v>
      </c>
      <c r="D14" s="24">
        <v>485</v>
      </c>
      <c r="E14" s="24">
        <f t="shared" si="0"/>
        <v>5820</v>
      </c>
      <c r="F14" s="24">
        <v>9190</v>
      </c>
      <c r="G14" s="24">
        <v>930</v>
      </c>
      <c r="H14" s="24">
        <v>786</v>
      </c>
      <c r="I14" s="24">
        <v>1440</v>
      </c>
      <c r="J14" s="24">
        <v>90</v>
      </c>
      <c r="K14" s="24">
        <v>13470</v>
      </c>
      <c r="L14" s="24">
        <f t="shared" si="1"/>
        <v>40881</v>
      </c>
    </row>
    <row r="15" spans="1:12" ht="36" customHeight="1">
      <c r="A15" s="24">
        <v>13</v>
      </c>
      <c r="B15" s="24">
        <v>48</v>
      </c>
      <c r="C15" s="24">
        <v>8670</v>
      </c>
      <c r="D15" s="24">
        <v>485</v>
      </c>
      <c r="E15" s="24">
        <f t="shared" si="0"/>
        <v>5820</v>
      </c>
      <c r="F15" s="24">
        <v>9190</v>
      </c>
      <c r="G15" s="24">
        <v>930</v>
      </c>
      <c r="H15" s="24">
        <v>786</v>
      </c>
      <c r="I15" s="24">
        <v>1440</v>
      </c>
      <c r="J15" s="24">
        <v>90</v>
      </c>
      <c r="K15" s="24">
        <v>13470</v>
      </c>
      <c r="L15" s="24">
        <f t="shared" si="1"/>
        <v>40881</v>
      </c>
    </row>
    <row r="16" spans="1:12" ht="36" customHeight="1">
      <c r="A16" s="24">
        <v>14</v>
      </c>
      <c r="B16" s="24">
        <v>49</v>
      </c>
      <c r="C16" s="24">
        <v>8670</v>
      </c>
      <c r="D16" s="24">
        <v>485</v>
      </c>
      <c r="E16" s="24">
        <f t="shared" si="0"/>
        <v>5820</v>
      </c>
      <c r="F16" s="24">
        <v>9190</v>
      </c>
      <c r="G16" s="24">
        <v>930</v>
      </c>
      <c r="H16" s="24">
        <v>786</v>
      </c>
      <c r="I16" s="24">
        <v>1440</v>
      </c>
      <c r="J16" s="24">
        <v>90</v>
      </c>
      <c r="K16" s="24">
        <v>13470</v>
      </c>
      <c r="L16" s="24">
        <f t="shared" si="1"/>
        <v>40881</v>
      </c>
    </row>
    <row r="17" spans="1:13" ht="36" customHeight="1">
      <c r="A17" s="24">
        <v>15</v>
      </c>
      <c r="B17" s="24">
        <v>50</v>
      </c>
      <c r="C17" s="24">
        <v>8670</v>
      </c>
      <c r="D17" s="24">
        <v>485</v>
      </c>
      <c r="E17" s="24">
        <f t="shared" si="0"/>
        <v>5820</v>
      </c>
      <c r="F17" s="24">
        <v>11399</v>
      </c>
      <c r="G17" s="24">
        <v>930</v>
      </c>
      <c r="H17" s="24">
        <v>786</v>
      </c>
      <c r="I17" s="24">
        <v>1440</v>
      </c>
      <c r="J17" s="24">
        <v>90</v>
      </c>
      <c r="K17" s="24">
        <v>13470</v>
      </c>
      <c r="L17" s="24">
        <f t="shared" si="1"/>
        <v>43090</v>
      </c>
    </row>
    <row r="18" spans="1:13" ht="36" customHeight="1">
      <c r="A18" s="24">
        <v>16</v>
      </c>
      <c r="B18" s="24">
        <v>51</v>
      </c>
      <c r="C18" s="24">
        <v>8670</v>
      </c>
      <c r="D18" s="24">
        <v>673</v>
      </c>
      <c r="E18" s="24">
        <f t="shared" si="0"/>
        <v>8076</v>
      </c>
      <c r="F18" s="24">
        <v>11399</v>
      </c>
      <c r="G18" s="24">
        <v>930</v>
      </c>
      <c r="H18" s="24">
        <v>786</v>
      </c>
      <c r="I18" s="24">
        <v>1440</v>
      </c>
      <c r="J18" s="24">
        <v>90</v>
      </c>
      <c r="K18" s="24">
        <v>19960</v>
      </c>
      <c r="L18" s="24">
        <f t="shared" si="1"/>
        <v>52024</v>
      </c>
    </row>
    <row r="19" spans="1:13" ht="36" customHeight="1">
      <c r="A19" s="24">
        <v>17</v>
      </c>
      <c r="B19" s="24">
        <v>52</v>
      </c>
      <c r="C19" s="24">
        <v>8670</v>
      </c>
      <c r="D19" s="24">
        <v>673</v>
      </c>
      <c r="E19" s="24">
        <f t="shared" si="0"/>
        <v>8076</v>
      </c>
      <c r="F19" s="24">
        <v>11399</v>
      </c>
      <c r="G19" s="24">
        <v>930</v>
      </c>
      <c r="H19" s="24">
        <v>786</v>
      </c>
      <c r="I19" s="24">
        <v>1440</v>
      </c>
      <c r="J19" s="24">
        <v>90</v>
      </c>
      <c r="K19" s="24">
        <v>19960</v>
      </c>
      <c r="L19" s="24">
        <f t="shared" si="1"/>
        <v>52024</v>
      </c>
    </row>
    <row r="20" spans="1:13" ht="36" customHeight="1">
      <c r="A20" s="24">
        <v>18</v>
      </c>
      <c r="B20" s="24">
        <v>53</v>
      </c>
      <c r="C20" s="24">
        <v>8670</v>
      </c>
      <c r="D20" s="24">
        <v>673</v>
      </c>
      <c r="E20" s="24">
        <f t="shared" si="0"/>
        <v>8076</v>
      </c>
      <c r="F20" s="24">
        <v>11399</v>
      </c>
      <c r="G20" s="24">
        <v>930</v>
      </c>
      <c r="H20" s="24">
        <v>786</v>
      </c>
      <c r="I20" s="24">
        <v>1440</v>
      </c>
      <c r="J20" s="24">
        <v>90</v>
      </c>
      <c r="K20" s="24">
        <v>19960</v>
      </c>
      <c r="L20" s="24">
        <f t="shared" si="1"/>
        <v>52024</v>
      </c>
    </row>
    <row r="21" spans="1:13" ht="36" customHeight="1">
      <c r="A21" s="24">
        <v>19</v>
      </c>
      <c r="B21" s="24">
        <v>54</v>
      </c>
      <c r="C21" s="24">
        <v>8670</v>
      </c>
      <c r="D21" s="24">
        <v>673</v>
      </c>
      <c r="E21" s="24">
        <f t="shared" si="0"/>
        <v>8076</v>
      </c>
      <c r="F21" s="24">
        <v>11399</v>
      </c>
      <c r="G21" s="24">
        <v>930</v>
      </c>
      <c r="H21" s="24">
        <v>786</v>
      </c>
      <c r="I21" s="24">
        <v>1440</v>
      </c>
      <c r="J21" s="24">
        <v>90</v>
      </c>
      <c r="K21" s="24">
        <v>19960</v>
      </c>
      <c r="L21" s="24">
        <f t="shared" si="1"/>
        <v>52024</v>
      </c>
    </row>
    <row r="22" spans="1:13" ht="36" customHeight="1">
      <c r="A22" s="24">
        <v>20</v>
      </c>
      <c r="B22" s="24">
        <v>55</v>
      </c>
      <c r="C22" s="24">
        <v>8670</v>
      </c>
      <c r="D22" s="24">
        <v>673</v>
      </c>
      <c r="E22" s="24">
        <f t="shared" si="0"/>
        <v>8076</v>
      </c>
      <c r="F22" s="24">
        <v>13129</v>
      </c>
      <c r="G22" s="24">
        <v>930</v>
      </c>
      <c r="H22" s="24">
        <v>786</v>
      </c>
      <c r="I22" s="24">
        <v>1440</v>
      </c>
      <c r="J22" s="24">
        <v>90</v>
      </c>
      <c r="K22" s="24">
        <v>19960</v>
      </c>
      <c r="L22" s="24">
        <f t="shared" si="1"/>
        <v>53754</v>
      </c>
      <c r="M22" s="24">
        <f>SUM(L3:L22)</f>
        <v>759713</v>
      </c>
    </row>
    <row r="23" spans="1:13" ht="36" customHeight="1">
      <c r="B23" s="24">
        <v>56</v>
      </c>
      <c r="D23" s="24">
        <v>982</v>
      </c>
      <c r="E23" s="24">
        <f t="shared" si="0"/>
        <v>11784</v>
      </c>
      <c r="F23" s="24">
        <v>13129</v>
      </c>
      <c r="G23" s="24">
        <v>930</v>
      </c>
      <c r="H23" s="24">
        <v>786</v>
      </c>
      <c r="I23" s="24">
        <v>1440</v>
      </c>
      <c r="J23" s="24">
        <v>90</v>
      </c>
      <c r="K23" s="24">
        <v>31510</v>
      </c>
      <c r="L23" s="24">
        <f t="shared" si="1"/>
        <v>60651</v>
      </c>
    </row>
    <row r="24" spans="1:13" ht="36" customHeight="1">
      <c r="B24" s="24">
        <v>57</v>
      </c>
      <c r="D24" s="24">
        <v>982</v>
      </c>
      <c r="E24" s="24">
        <f t="shared" si="0"/>
        <v>11784</v>
      </c>
      <c r="F24" s="24">
        <v>13129</v>
      </c>
      <c r="G24" s="24">
        <v>930</v>
      </c>
      <c r="H24" s="24">
        <v>786</v>
      </c>
      <c r="I24" s="24">
        <v>1440</v>
      </c>
      <c r="J24" s="24">
        <v>90</v>
      </c>
      <c r="K24" s="24">
        <v>31510</v>
      </c>
      <c r="L24" s="24">
        <f t="shared" si="1"/>
        <v>60651</v>
      </c>
    </row>
    <row r="25" spans="1:13" ht="36" customHeight="1">
      <c r="B25" s="24">
        <v>58</v>
      </c>
      <c r="D25" s="24">
        <v>982</v>
      </c>
      <c r="E25" s="24">
        <f t="shared" si="0"/>
        <v>11784</v>
      </c>
      <c r="F25" s="24">
        <v>13129</v>
      </c>
      <c r="G25" s="24">
        <v>930</v>
      </c>
      <c r="H25" s="24">
        <v>786</v>
      </c>
      <c r="I25" s="24">
        <v>1440</v>
      </c>
      <c r="J25" s="24">
        <v>90</v>
      </c>
      <c r="K25" s="24">
        <v>31510</v>
      </c>
      <c r="L25" s="24">
        <f t="shared" si="1"/>
        <v>60651</v>
      </c>
    </row>
    <row r="26" spans="1:13" ht="36" customHeight="1">
      <c r="B26" s="24">
        <v>59</v>
      </c>
      <c r="D26" s="24">
        <v>982</v>
      </c>
      <c r="E26" s="24">
        <f t="shared" si="0"/>
        <v>11784</v>
      </c>
      <c r="F26" s="24">
        <v>13129</v>
      </c>
      <c r="G26" s="24">
        <v>930</v>
      </c>
      <c r="H26" s="24">
        <v>786</v>
      </c>
      <c r="I26" s="24">
        <v>1440</v>
      </c>
      <c r="J26" s="24">
        <v>90</v>
      </c>
      <c r="K26" s="24">
        <v>31510</v>
      </c>
      <c r="L26" s="24">
        <f t="shared" si="1"/>
        <v>60651</v>
      </c>
    </row>
    <row r="27" spans="1:13" ht="36" customHeight="1">
      <c r="B27" s="24">
        <v>60</v>
      </c>
      <c r="D27" s="24">
        <v>982</v>
      </c>
      <c r="E27" s="24">
        <f t="shared" si="0"/>
        <v>11784</v>
      </c>
      <c r="F27" s="24">
        <v>17019</v>
      </c>
      <c r="G27" s="24">
        <v>930</v>
      </c>
      <c r="H27" s="24">
        <v>786</v>
      </c>
      <c r="I27" s="24">
        <v>1440</v>
      </c>
      <c r="J27" s="24">
        <v>90</v>
      </c>
      <c r="K27" s="24">
        <v>31510</v>
      </c>
      <c r="L27" s="24">
        <f t="shared" si="1"/>
        <v>64541</v>
      </c>
    </row>
    <row r="28" spans="1:13" ht="36" customHeight="1">
      <c r="B28" s="24">
        <v>61</v>
      </c>
      <c r="D28" s="24">
        <v>1401</v>
      </c>
      <c r="E28" s="24">
        <f t="shared" si="0"/>
        <v>16812</v>
      </c>
      <c r="F28" s="24">
        <v>17019</v>
      </c>
      <c r="G28" s="24">
        <v>930</v>
      </c>
      <c r="H28" s="24">
        <v>786</v>
      </c>
      <c r="I28" s="24">
        <v>1440</v>
      </c>
      <c r="J28" s="24">
        <v>90</v>
      </c>
      <c r="K28" s="24">
        <v>40160</v>
      </c>
      <c r="L28" s="24">
        <f t="shared" si="1"/>
        <v>78638</v>
      </c>
    </row>
    <row r="29" spans="1:13" ht="36" customHeight="1">
      <c r="B29" s="24">
        <v>62</v>
      </c>
      <c r="D29" s="24">
        <v>1401</v>
      </c>
      <c r="E29" s="24">
        <f t="shared" si="0"/>
        <v>16812</v>
      </c>
      <c r="F29" s="24">
        <v>17019</v>
      </c>
      <c r="G29" s="24">
        <v>930</v>
      </c>
      <c r="H29" s="24">
        <v>786</v>
      </c>
      <c r="I29" s="24">
        <v>1440</v>
      </c>
      <c r="J29" s="24">
        <v>90</v>
      </c>
      <c r="K29" s="24">
        <v>40160</v>
      </c>
      <c r="L29" s="24">
        <f t="shared" si="1"/>
        <v>78638</v>
      </c>
    </row>
    <row r="30" spans="1:13" ht="36" customHeight="1">
      <c r="B30" s="24">
        <v>63</v>
      </c>
      <c r="D30" s="24">
        <v>1401</v>
      </c>
      <c r="E30" s="24">
        <f t="shared" si="0"/>
        <v>16812</v>
      </c>
      <c r="F30" s="24">
        <v>17019</v>
      </c>
      <c r="G30" s="24">
        <v>930</v>
      </c>
      <c r="H30" s="24">
        <v>786</v>
      </c>
      <c r="I30" s="24">
        <v>1440</v>
      </c>
      <c r="J30" s="24">
        <v>90</v>
      </c>
      <c r="K30" s="24">
        <v>40160</v>
      </c>
      <c r="L30" s="24">
        <f t="shared" si="1"/>
        <v>78638</v>
      </c>
    </row>
    <row r="31" spans="1:13" ht="36" customHeight="1">
      <c r="B31" s="24">
        <v>64</v>
      </c>
      <c r="D31" s="24">
        <v>1401</v>
      </c>
      <c r="E31" s="24">
        <f t="shared" si="0"/>
        <v>16812</v>
      </c>
      <c r="F31" s="24">
        <v>17019</v>
      </c>
      <c r="G31" s="24">
        <v>930</v>
      </c>
      <c r="H31" s="24">
        <v>786</v>
      </c>
      <c r="I31" s="24">
        <v>1440</v>
      </c>
      <c r="J31" s="24">
        <v>90</v>
      </c>
      <c r="K31" s="24">
        <v>40160</v>
      </c>
      <c r="L31" s="24">
        <f t="shared" si="1"/>
        <v>78638</v>
      </c>
    </row>
    <row r="32" spans="1:13" ht="36" customHeight="1">
      <c r="B32" s="24">
        <v>65</v>
      </c>
      <c r="D32" s="24">
        <v>1401</v>
      </c>
      <c r="E32" s="24">
        <f t="shared" si="0"/>
        <v>16812</v>
      </c>
      <c r="F32" s="24">
        <v>22635</v>
      </c>
      <c r="G32" s="24">
        <v>930</v>
      </c>
      <c r="H32" s="24">
        <v>786</v>
      </c>
      <c r="I32" s="24">
        <v>1440</v>
      </c>
      <c r="J32" s="24">
        <v>90</v>
      </c>
      <c r="K32" s="24">
        <v>40160</v>
      </c>
      <c r="L32" s="24">
        <f t="shared" si="1"/>
        <v>84254</v>
      </c>
    </row>
    <row r="33" spans="2:12" ht="36" customHeight="1">
      <c r="B33" s="24">
        <v>66</v>
      </c>
      <c r="D33" s="24">
        <v>1936</v>
      </c>
      <c r="E33" s="24">
        <f t="shared" si="0"/>
        <v>23232</v>
      </c>
      <c r="F33" s="24">
        <v>22635</v>
      </c>
      <c r="G33" s="24">
        <v>930</v>
      </c>
      <c r="H33" s="24">
        <v>786</v>
      </c>
      <c r="I33" s="24">
        <v>1440</v>
      </c>
      <c r="J33" s="24">
        <v>90</v>
      </c>
      <c r="K33" s="24">
        <v>49890</v>
      </c>
      <c r="L33" s="24">
        <f t="shared" si="1"/>
        <v>100939</v>
      </c>
    </row>
    <row r="34" spans="2:12" ht="36" customHeight="1">
      <c r="B34" s="24">
        <v>67</v>
      </c>
      <c r="D34" s="24">
        <v>1936</v>
      </c>
      <c r="E34" s="24">
        <f t="shared" si="0"/>
        <v>23232</v>
      </c>
      <c r="F34" s="24">
        <v>22635</v>
      </c>
      <c r="G34" s="24">
        <v>930</v>
      </c>
      <c r="H34" s="24">
        <v>786</v>
      </c>
      <c r="I34" s="24">
        <v>1440</v>
      </c>
      <c r="J34" s="24">
        <v>90</v>
      </c>
      <c r="K34" s="24">
        <v>49890</v>
      </c>
      <c r="L34" s="24">
        <f t="shared" si="1"/>
        <v>100939</v>
      </c>
    </row>
    <row r="35" spans="2:12" ht="36" customHeight="1">
      <c r="B35" s="24">
        <v>68</v>
      </c>
      <c r="D35" s="24">
        <v>1936</v>
      </c>
      <c r="E35" s="24">
        <f t="shared" si="0"/>
        <v>23232</v>
      </c>
      <c r="F35" s="24">
        <v>22635</v>
      </c>
      <c r="G35" s="24">
        <v>930</v>
      </c>
      <c r="H35" s="24">
        <v>786</v>
      </c>
      <c r="I35" s="24">
        <v>1440</v>
      </c>
      <c r="J35" s="24">
        <v>90</v>
      </c>
      <c r="K35" s="24">
        <v>49890</v>
      </c>
      <c r="L35" s="24">
        <f t="shared" si="1"/>
        <v>100939</v>
      </c>
    </row>
    <row r="36" spans="2:12" ht="36" customHeight="1">
      <c r="B36" s="24">
        <v>69</v>
      </c>
      <c r="D36" s="24">
        <v>1936</v>
      </c>
      <c r="E36" s="24">
        <f t="shared" si="0"/>
        <v>23232</v>
      </c>
      <c r="F36" s="24">
        <v>22635</v>
      </c>
      <c r="G36" s="24">
        <v>930</v>
      </c>
      <c r="H36" s="24">
        <v>786</v>
      </c>
      <c r="I36" s="24">
        <v>1440</v>
      </c>
      <c r="J36" s="24">
        <v>90</v>
      </c>
      <c r="K36" s="24">
        <v>49890</v>
      </c>
      <c r="L36" s="24">
        <f t="shared" si="1"/>
        <v>100939</v>
      </c>
    </row>
    <row r="37" spans="2:12" ht="36" customHeight="1">
      <c r="B37" s="24">
        <v>70</v>
      </c>
      <c r="D37" s="24">
        <v>1936</v>
      </c>
      <c r="E37" s="24">
        <f t="shared" si="0"/>
        <v>23232</v>
      </c>
      <c r="F37" s="24">
        <v>26477</v>
      </c>
      <c r="G37" s="24">
        <v>930</v>
      </c>
      <c r="H37" s="24">
        <v>786</v>
      </c>
      <c r="I37" s="24">
        <v>1440</v>
      </c>
      <c r="J37" s="24">
        <v>90</v>
      </c>
      <c r="K37" s="24">
        <v>49890</v>
      </c>
      <c r="L37" s="24">
        <f t="shared" si="1"/>
        <v>104781</v>
      </c>
    </row>
    <row r="38" spans="2:12" ht="36" customHeight="1">
      <c r="B38" s="24">
        <v>71</v>
      </c>
      <c r="D38" s="24">
        <v>2533</v>
      </c>
      <c r="E38" s="24">
        <f t="shared" si="0"/>
        <v>30396</v>
      </c>
      <c r="F38" s="24">
        <v>26477</v>
      </c>
      <c r="G38" s="24">
        <v>930</v>
      </c>
      <c r="H38" s="24">
        <v>786</v>
      </c>
      <c r="I38" s="24">
        <v>1440</v>
      </c>
      <c r="J38" s="24">
        <v>90</v>
      </c>
      <c r="K38" s="24">
        <v>62600</v>
      </c>
      <c r="L38" s="24">
        <f t="shared" si="1"/>
        <v>125252</v>
      </c>
    </row>
    <row r="39" spans="2:12" ht="36" customHeight="1">
      <c r="B39" s="24">
        <v>72</v>
      </c>
      <c r="D39" s="24">
        <v>2533</v>
      </c>
      <c r="E39" s="24">
        <f t="shared" si="0"/>
        <v>30396</v>
      </c>
      <c r="F39" s="24">
        <v>26477</v>
      </c>
      <c r="G39" s="24">
        <v>930</v>
      </c>
      <c r="H39" s="24">
        <v>786</v>
      </c>
      <c r="I39" s="24">
        <v>1440</v>
      </c>
      <c r="J39" s="24">
        <v>90</v>
      </c>
      <c r="K39" s="24">
        <v>62600</v>
      </c>
      <c r="L39" s="24">
        <f t="shared" si="1"/>
        <v>125252</v>
      </c>
    </row>
    <row r="40" spans="2:12" ht="36" customHeight="1">
      <c r="B40" s="24">
        <v>73</v>
      </c>
      <c r="D40" s="24">
        <v>2533</v>
      </c>
      <c r="E40" s="24">
        <f t="shared" si="0"/>
        <v>30396</v>
      </c>
      <c r="F40" s="24">
        <v>26477</v>
      </c>
      <c r="G40" s="24">
        <v>930</v>
      </c>
      <c r="H40" s="24">
        <v>786</v>
      </c>
      <c r="I40" s="24">
        <v>1440</v>
      </c>
      <c r="J40" s="24">
        <v>90</v>
      </c>
      <c r="K40" s="24">
        <v>62600</v>
      </c>
      <c r="L40" s="24">
        <f t="shared" si="1"/>
        <v>125252</v>
      </c>
    </row>
    <row r="41" spans="2:12" ht="36" customHeight="1">
      <c r="B41" s="24">
        <v>74</v>
      </c>
      <c r="D41" s="24">
        <v>2533</v>
      </c>
      <c r="E41" s="24">
        <f t="shared" si="0"/>
        <v>30396</v>
      </c>
      <c r="F41" s="24">
        <v>26477</v>
      </c>
      <c r="G41" s="24">
        <v>930</v>
      </c>
      <c r="H41" s="24">
        <v>786</v>
      </c>
      <c r="I41" s="24">
        <v>1440</v>
      </c>
      <c r="J41" s="24">
        <v>90</v>
      </c>
      <c r="K41" s="24">
        <v>62600</v>
      </c>
      <c r="L41" s="24">
        <f t="shared" si="1"/>
        <v>125252</v>
      </c>
    </row>
    <row r="42" spans="2:12" ht="36" customHeight="1">
      <c r="B42" s="24">
        <v>75</v>
      </c>
      <c r="D42" s="24">
        <v>2533</v>
      </c>
      <c r="E42" s="24">
        <f t="shared" si="0"/>
        <v>30396</v>
      </c>
      <c r="F42" s="24">
        <v>39994</v>
      </c>
      <c r="G42" s="24">
        <v>930</v>
      </c>
      <c r="H42" s="24">
        <v>786</v>
      </c>
      <c r="I42" s="24">
        <v>1440</v>
      </c>
      <c r="J42" s="24">
        <v>90</v>
      </c>
      <c r="K42" s="24">
        <v>62600</v>
      </c>
      <c r="L42" s="24">
        <f t="shared" si="1"/>
        <v>138769</v>
      </c>
    </row>
    <row r="43" spans="2:12" ht="36" customHeight="1">
      <c r="B43" s="24">
        <v>76</v>
      </c>
      <c r="D43" s="24">
        <v>3206</v>
      </c>
      <c r="E43" s="24">
        <f t="shared" si="0"/>
        <v>38472</v>
      </c>
      <c r="F43" s="24">
        <v>39994</v>
      </c>
      <c r="G43" s="24">
        <v>930</v>
      </c>
      <c r="H43" s="24">
        <v>786</v>
      </c>
      <c r="I43" s="24">
        <v>1440</v>
      </c>
      <c r="J43" s="24">
        <v>90</v>
      </c>
      <c r="L43" s="24">
        <f t="shared" si="1"/>
        <v>84918</v>
      </c>
    </row>
    <row r="44" spans="2:12" ht="36" customHeight="1">
      <c r="B44" s="24">
        <v>77</v>
      </c>
      <c r="D44" s="24">
        <v>3206</v>
      </c>
      <c r="E44" s="24">
        <f t="shared" si="0"/>
        <v>38472</v>
      </c>
      <c r="F44" s="24">
        <v>39994</v>
      </c>
      <c r="G44" s="24">
        <v>930</v>
      </c>
      <c r="H44" s="24">
        <v>786</v>
      </c>
      <c r="I44" s="24">
        <v>1440</v>
      </c>
      <c r="J44" s="24">
        <v>90</v>
      </c>
      <c r="L44" s="24">
        <f t="shared" si="1"/>
        <v>84918</v>
      </c>
    </row>
    <row r="45" spans="2:12" ht="36" customHeight="1">
      <c r="B45" s="24">
        <v>78</v>
      </c>
      <c r="D45" s="24">
        <v>3206</v>
      </c>
      <c r="E45" s="24">
        <f t="shared" si="0"/>
        <v>38472</v>
      </c>
      <c r="F45" s="24">
        <v>39994</v>
      </c>
      <c r="G45" s="24">
        <v>930</v>
      </c>
      <c r="H45" s="24">
        <v>786</v>
      </c>
      <c r="I45" s="24">
        <v>1440</v>
      </c>
      <c r="J45" s="24">
        <v>90</v>
      </c>
      <c r="L45" s="24">
        <f t="shared" si="1"/>
        <v>84918</v>
      </c>
    </row>
    <row r="46" spans="2:12" ht="36" customHeight="1">
      <c r="B46" s="24">
        <v>79</v>
      </c>
      <c r="D46" s="24">
        <v>3206</v>
      </c>
      <c r="E46" s="24">
        <f t="shared" si="0"/>
        <v>38472</v>
      </c>
      <c r="F46" s="24">
        <v>39994</v>
      </c>
      <c r="G46" s="24">
        <v>930</v>
      </c>
      <c r="H46" s="24">
        <v>786</v>
      </c>
      <c r="I46" s="24">
        <v>1440</v>
      </c>
      <c r="J46" s="24">
        <v>90</v>
      </c>
      <c r="L46" s="24">
        <f t="shared" si="1"/>
        <v>84918</v>
      </c>
    </row>
    <row r="47" spans="2:12" ht="36" customHeight="1">
      <c r="B47" s="24">
        <v>80</v>
      </c>
      <c r="D47" s="24">
        <v>3206</v>
      </c>
      <c r="E47" s="24">
        <f t="shared" si="0"/>
        <v>38472</v>
      </c>
      <c r="F47" s="24">
        <v>39994</v>
      </c>
      <c r="G47" s="24">
        <v>930</v>
      </c>
      <c r="H47" s="24">
        <v>786</v>
      </c>
      <c r="I47" s="24">
        <v>1440</v>
      </c>
      <c r="J47" s="24">
        <v>90</v>
      </c>
      <c r="L47" s="24">
        <f t="shared" si="1"/>
        <v>84918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D28AD-7DFD-BA4F-9CAF-2D470E45316C}">
  <sheetPr codeName="工作表4"/>
  <dimension ref="A1:AN50"/>
  <sheetViews>
    <sheetView zoomScale="125" workbookViewId="0">
      <pane ySplit="1" topLeftCell="A33" activePane="bottomLeft" state="frozen"/>
      <selection pane="bottomLeft" activeCell="I50" sqref="I50"/>
    </sheetView>
  </sheetViews>
  <sheetFormatPr baseColWidth="10" defaultRowHeight="18"/>
  <cols>
    <col min="1" max="2" width="10.83203125" style="1"/>
    <col min="3" max="3" width="14.6640625" style="1" customWidth="1"/>
    <col min="4" max="4" width="15" style="1" customWidth="1"/>
    <col min="5" max="5" width="19.1640625" style="1" customWidth="1"/>
    <col min="6" max="6" width="20.5" style="1" bestFit="1" customWidth="1"/>
    <col min="7" max="7" width="14.5" style="1" customWidth="1"/>
    <col min="8" max="8" width="14.1640625" style="1" customWidth="1"/>
    <col min="9" max="9" width="23.5" style="1" customWidth="1"/>
    <col min="10" max="10" width="14.1640625" style="1" customWidth="1"/>
    <col min="11" max="11" width="15.1640625" style="1" customWidth="1"/>
    <col min="12" max="12" width="18.6640625" style="1" customWidth="1"/>
    <col min="13" max="13" width="18.33203125" style="1" customWidth="1"/>
    <col min="14" max="14" width="19" style="1" customWidth="1"/>
    <col min="15" max="15" width="17.5" style="1" customWidth="1"/>
    <col min="16" max="16" width="14.33203125" style="1" customWidth="1"/>
    <col min="17" max="17" width="12.33203125" style="1" customWidth="1"/>
    <col min="18" max="18" width="10.83203125" style="1"/>
    <col min="19" max="19" width="14" style="1" customWidth="1"/>
    <col min="20" max="21" width="10.83203125" style="1"/>
    <col min="22" max="22" width="14" style="1" customWidth="1"/>
    <col min="23" max="23" width="14.1640625" style="1" bestFit="1" customWidth="1"/>
    <col min="24" max="24" width="18.6640625" style="1" bestFit="1" customWidth="1"/>
    <col min="25" max="25" width="10.83203125" style="1"/>
    <col min="26" max="26" width="12.33203125" style="1" customWidth="1"/>
    <col min="27" max="27" width="10.83203125" style="1"/>
    <col min="28" max="28" width="14" style="1" customWidth="1"/>
    <col min="29" max="29" width="13.1640625" style="1" customWidth="1"/>
    <col min="30" max="30" width="13.33203125" style="1" customWidth="1"/>
    <col min="31" max="31" width="18" style="1" customWidth="1"/>
    <col min="32" max="32" width="17.5" style="1" customWidth="1"/>
    <col min="33" max="33" width="12.83203125" style="1" customWidth="1"/>
    <col min="34" max="34" width="13" style="1" customWidth="1"/>
    <col min="35" max="38" width="13.1640625" style="1" bestFit="1" customWidth="1"/>
    <col min="39" max="40" width="18.6640625" style="1" bestFit="1" customWidth="1"/>
    <col min="41" max="16384" width="10.83203125" style="1"/>
  </cols>
  <sheetData>
    <row r="1" spans="1:40">
      <c r="A1" s="1" t="s">
        <v>8</v>
      </c>
      <c r="B1" s="1" t="s">
        <v>9</v>
      </c>
      <c r="C1" s="2" t="s">
        <v>10</v>
      </c>
      <c r="D1" s="2" t="s">
        <v>11</v>
      </c>
      <c r="E1" s="2" t="s">
        <v>43</v>
      </c>
      <c r="F1" s="2" t="s">
        <v>45</v>
      </c>
      <c r="G1" s="2" t="s">
        <v>12</v>
      </c>
      <c r="H1" s="2" t="s">
        <v>13</v>
      </c>
      <c r="I1" s="2" t="s">
        <v>46</v>
      </c>
      <c r="J1" s="2" t="s">
        <v>14</v>
      </c>
      <c r="K1" s="2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</v>
      </c>
      <c r="Q1" s="3" t="s">
        <v>3</v>
      </c>
      <c r="R1" s="3" t="s">
        <v>20</v>
      </c>
      <c r="S1" s="3" t="s">
        <v>21</v>
      </c>
      <c r="T1" s="4" t="s">
        <v>4</v>
      </c>
      <c r="U1" s="4" t="s">
        <v>5</v>
      </c>
      <c r="V1" s="4" t="s">
        <v>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6</v>
      </c>
      <c r="AB1" s="5" t="s">
        <v>26</v>
      </c>
      <c r="AC1" s="6" t="s">
        <v>27</v>
      </c>
      <c r="AD1" s="6" t="s">
        <v>28</v>
      </c>
      <c r="AE1" s="6" t="s">
        <v>38</v>
      </c>
      <c r="AF1" s="6" t="s">
        <v>37</v>
      </c>
      <c r="AG1" s="6" t="s">
        <v>29</v>
      </c>
      <c r="AH1" s="6" t="s">
        <v>30</v>
      </c>
      <c r="AI1" s="6" t="s">
        <v>31</v>
      </c>
      <c r="AJ1" s="6" t="s">
        <v>32</v>
      </c>
      <c r="AK1" s="6" t="s">
        <v>33</v>
      </c>
      <c r="AL1" s="6" t="s">
        <v>34</v>
      </c>
      <c r="AM1" s="6" t="s">
        <v>35</v>
      </c>
      <c r="AN1" s="6" t="s">
        <v>36</v>
      </c>
    </row>
    <row r="2" spans="1:40">
      <c r="A2" s="19" t="s">
        <v>53</v>
      </c>
      <c r="B2" s="1">
        <v>5</v>
      </c>
      <c r="C2" s="1">
        <v>500</v>
      </c>
      <c r="D2" s="1">
        <v>1500</v>
      </c>
      <c r="E2" s="1">
        <v>5000</v>
      </c>
      <c r="G2" s="1">
        <v>2500</v>
      </c>
      <c r="H2" s="1">
        <v>1500</v>
      </c>
    </row>
    <row r="3" spans="1:40">
      <c r="A3" s="19" t="s">
        <v>54</v>
      </c>
      <c r="B3" s="1">
        <v>500</v>
      </c>
      <c r="C3" s="1">
        <v>500</v>
      </c>
      <c r="D3" s="1">
        <v>1000</v>
      </c>
      <c r="E3" s="1">
        <v>500</v>
      </c>
      <c r="H3" s="1">
        <v>500</v>
      </c>
    </row>
    <row r="4" spans="1:40">
      <c r="A4" s="19" t="s">
        <v>55</v>
      </c>
      <c r="B4" s="1">
        <v>500</v>
      </c>
      <c r="C4" s="1">
        <v>500</v>
      </c>
    </row>
    <row r="5" spans="1:40">
      <c r="A5" s="1" t="s">
        <v>56</v>
      </c>
      <c r="B5" s="1">
        <v>120000</v>
      </c>
      <c r="AC5" s="1">
        <v>120000</v>
      </c>
      <c r="AD5" s="1">
        <v>120000</v>
      </c>
      <c r="AE5" s="1">
        <v>10000</v>
      </c>
      <c r="AF5" s="1">
        <v>10000</v>
      </c>
      <c r="AJ5" s="1">
        <v>10000</v>
      </c>
      <c r="AM5" s="1">
        <v>10000</v>
      </c>
      <c r="AN5" s="1">
        <v>10000</v>
      </c>
    </row>
    <row r="6" spans="1:40">
      <c r="A6" s="1" t="s">
        <v>57</v>
      </c>
      <c r="B6" s="1">
        <v>500000</v>
      </c>
      <c r="AC6" s="1">
        <v>125000</v>
      </c>
      <c r="AG6" s="1">
        <v>10417</v>
      </c>
      <c r="AH6" s="1">
        <v>10417</v>
      </c>
    </row>
    <row r="7" spans="1:40">
      <c r="A7" s="1" t="s">
        <v>58</v>
      </c>
      <c r="B7" s="1">
        <v>1</v>
      </c>
      <c r="T7" s="1">
        <v>50000</v>
      </c>
      <c r="U7" s="1">
        <v>150000</v>
      </c>
      <c r="V7" s="1">
        <v>1750</v>
      </c>
      <c r="W7" s="1">
        <v>1750</v>
      </c>
      <c r="X7" s="1">
        <v>15000</v>
      </c>
      <c r="Y7" s="1">
        <v>500</v>
      </c>
      <c r="Z7" s="1">
        <v>500</v>
      </c>
      <c r="AA7" s="1">
        <v>50000</v>
      </c>
    </row>
    <row r="8" spans="1:40">
      <c r="A8" s="1" t="s">
        <v>59</v>
      </c>
      <c r="B8" s="1">
        <v>100000</v>
      </c>
      <c r="T8" s="1">
        <v>100000</v>
      </c>
      <c r="AB8" s="1">
        <v>100000</v>
      </c>
    </row>
    <row r="9" spans="1:40">
      <c r="A9" s="1" t="s">
        <v>60</v>
      </c>
      <c r="B9" s="1">
        <v>100000</v>
      </c>
      <c r="T9" s="1">
        <v>100000</v>
      </c>
      <c r="AB9" s="1">
        <v>100000</v>
      </c>
    </row>
    <row r="10" spans="1:40">
      <c r="A10" s="1" t="s">
        <v>39</v>
      </c>
      <c r="B10" s="1">
        <v>500000</v>
      </c>
      <c r="T10" s="1">
        <v>500000</v>
      </c>
    </row>
    <row r="11" spans="1:40">
      <c r="A11" s="1" t="s">
        <v>40</v>
      </c>
      <c r="B11" s="1">
        <v>500000</v>
      </c>
      <c r="S11" s="21"/>
      <c r="T11" s="1">
        <v>500000</v>
      </c>
      <c r="AB11" s="1">
        <v>500000</v>
      </c>
    </row>
    <row r="12" spans="1:40">
      <c r="A12" s="1" t="s">
        <v>61</v>
      </c>
      <c r="B12" s="1">
        <v>5000</v>
      </c>
      <c r="AC12" s="1">
        <v>50000</v>
      </c>
      <c r="AG12" s="1">
        <v>6000</v>
      </c>
      <c r="AH12" s="1">
        <v>6000</v>
      </c>
    </row>
    <row r="13" spans="1:40">
      <c r="A13" s="1" t="s">
        <v>41</v>
      </c>
      <c r="B13" s="1">
        <v>1</v>
      </c>
      <c r="V13" s="1">
        <v>750</v>
      </c>
      <c r="W13" s="1">
        <v>750</v>
      </c>
      <c r="X13" s="1">
        <v>7500</v>
      </c>
      <c r="Y13" s="1">
        <v>250</v>
      </c>
      <c r="Z13" s="1">
        <v>750</v>
      </c>
      <c r="AA13" s="1">
        <v>25000</v>
      </c>
    </row>
    <row r="14" spans="1:40">
      <c r="A14" s="1" t="s">
        <v>62</v>
      </c>
      <c r="B14" s="1">
        <v>100000</v>
      </c>
      <c r="AB14" s="1">
        <v>500000</v>
      </c>
    </row>
    <row r="15" spans="1:40">
      <c r="A15" s="1" t="s">
        <v>63</v>
      </c>
      <c r="B15" s="1">
        <v>500000</v>
      </c>
      <c r="AC15" s="1">
        <v>125000</v>
      </c>
      <c r="AG15" s="1">
        <v>10417</v>
      </c>
      <c r="AH15" s="1">
        <v>10417</v>
      </c>
    </row>
    <row r="16" spans="1:40">
      <c r="A16" s="1" t="s">
        <v>42</v>
      </c>
      <c r="B16" s="1">
        <v>1000000</v>
      </c>
      <c r="S16" s="1">
        <v>1000000</v>
      </c>
    </row>
    <row r="17" spans="1:38">
      <c r="A17" s="1" t="s">
        <v>50</v>
      </c>
      <c r="B17" s="1">
        <v>100000</v>
      </c>
      <c r="R17" s="1">
        <v>100000</v>
      </c>
    </row>
    <row r="18" spans="1:38">
      <c r="A18" s="1" t="s">
        <v>51</v>
      </c>
      <c r="B18" s="1">
        <v>10</v>
      </c>
      <c r="L18" s="1">
        <v>1000</v>
      </c>
      <c r="M18" s="1">
        <v>2000</v>
      </c>
      <c r="N18" s="1">
        <v>20000</v>
      </c>
      <c r="P18" s="1">
        <v>500</v>
      </c>
      <c r="Q18" s="1">
        <v>500</v>
      </c>
    </row>
    <row r="19" spans="1:38">
      <c r="A19" s="22" t="s">
        <v>52</v>
      </c>
      <c r="B19" s="1">
        <v>3</v>
      </c>
      <c r="AJ19" s="1">
        <v>25000</v>
      </c>
      <c r="AL19" s="1">
        <v>17500</v>
      </c>
    </row>
    <row r="20" spans="1:38">
      <c r="A20" s="1" t="s">
        <v>64</v>
      </c>
      <c r="B20" s="1">
        <v>5</v>
      </c>
      <c r="C20" s="1">
        <v>500</v>
      </c>
      <c r="D20" s="1">
        <v>1000</v>
      </c>
      <c r="E20" s="1">
        <v>10000</v>
      </c>
    </row>
    <row r="21" spans="1:38">
      <c r="A21" s="1" t="s">
        <v>65</v>
      </c>
      <c r="B21" s="1">
        <v>500000</v>
      </c>
      <c r="T21" s="1">
        <v>500000</v>
      </c>
      <c r="AB21" s="1">
        <v>500000</v>
      </c>
    </row>
    <row r="22" spans="1:38">
      <c r="A22" s="1" t="s">
        <v>66</v>
      </c>
      <c r="B22" s="1">
        <v>500</v>
      </c>
      <c r="E22" s="1">
        <v>5000</v>
      </c>
      <c r="H22" s="1">
        <v>500</v>
      </c>
    </row>
    <row r="23" spans="1:38">
      <c r="A23" s="1" t="s">
        <v>44</v>
      </c>
      <c r="B23" s="1">
        <v>1</v>
      </c>
      <c r="C23" s="1">
        <v>500</v>
      </c>
      <c r="D23" s="1">
        <v>1000</v>
      </c>
      <c r="F23" s="1">
        <v>15000</v>
      </c>
      <c r="I23" s="1">
        <v>15000</v>
      </c>
      <c r="J23" s="1">
        <v>50000</v>
      </c>
      <c r="K23" s="1">
        <v>150000</v>
      </c>
    </row>
    <row r="24" spans="1:38">
      <c r="A24" s="1" t="s">
        <v>47</v>
      </c>
      <c r="B24" s="1">
        <v>500</v>
      </c>
      <c r="C24" s="1">
        <v>750</v>
      </c>
      <c r="D24" s="1">
        <v>1750</v>
      </c>
    </row>
    <row r="25" spans="1:38">
      <c r="A25" s="1" t="s">
        <v>48</v>
      </c>
      <c r="B25" s="1">
        <v>100000</v>
      </c>
      <c r="T25" s="1">
        <v>100000</v>
      </c>
      <c r="AB25" s="1">
        <v>100000</v>
      </c>
    </row>
    <row r="26" spans="1:38">
      <c r="A26" s="1" t="s">
        <v>49</v>
      </c>
      <c r="B26" s="1">
        <v>100000</v>
      </c>
      <c r="T26" s="1">
        <v>100000</v>
      </c>
      <c r="AB26" s="1">
        <v>100000</v>
      </c>
    </row>
    <row r="27" spans="1:38">
      <c r="A27" s="22" t="s">
        <v>69</v>
      </c>
      <c r="B27" s="1">
        <v>10000</v>
      </c>
      <c r="AC27" s="1">
        <v>250000</v>
      </c>
      <c r="AD27" s="1">
        <v>500000</v>
      </c>
      <c r="AI27" s="1">
        <v>10000</v>
      </c>
      <c r="AJ27" s="1">
        <v>15000</v>
      </c>
      <c r="AK27" s="1">
        <v>10000</v>
      </c>
      <c r="AL27" s="1">
        <v>15000</v>
      </c>
    </row>
    <row r="28" spans="1:38">
      <c r="A28" s="1" t="s">
        <v>100</v>
      </c>
      <c r="B28" s="1">
        <v>10000</v>
      </c>
      <c r="AC28" s="1">
        <v>120000</v>
      </c>
      <c r="AD28" s="1">
        <v>240000</v>
      </c>
      <c r="AI28" s="1">
        <v>10000</v>
      </c>
      <c r="AJ28" s="1">
        <v>20000</v>
      </c>
      <c r="AK28" s="1">
        <v>10000</v>
      </c>
      <c r="AL28" s="1">
        <v>20000</v>
      </c>
    </row>
    <row r="29" spans="1:38">
      <c r="A29" s="1" t="s">
        <v>106</v>
      </c>
      <c r="B29" s="1">
        <v>1</v>
      </c>
      <c r="V29" s="1">
        <v>750</v>
      </c>
      <c r="W29" s="1">
        <v>750</v>
      </c>
      <c r="X29" s="1">
        <v>7500</v>
      </c>
      <c r="Y29" s="1">
        <v>250</v>
      </c>
      <c r="Z29" s="1">
        <v>250</v>
      </c>
      <c r="AA29" s="1">
        <v>25000</v>
      </c>
    </row>
    <row r="30" spans="1:38">
      <c r="A30" s="19" t="s">
        <v>107</v>
      </c>
      <c r="B30" s="1">
        <v>5</v>
      </c>
      <c r="C30" s="1">
        <v>500</v>
      </c>
      <c r="D30" s="1">
        <v>1500</v>
      </c>
      <c r="E30" s="1">
        <v>5000</v>
      </c>
      <c r="G30" s="1">
        <v>2500</v>
      </c>
      <c r="H30" s="1">
        <v>1500</v>
      </c>
    </row>
    <row r="31" spans="1:38">
      <c r="A31" s="1" t="s">
        <v>108</v>
      </c>
      <c r="B31" s="1">
        <v>500000</v>
      </c>
      <c r="T31" s="1">
        <v>500000</v>
      </c>
      <c r="AB31" s="1">
        <v>500000</v>
      </c>
    </row>
    <row r="32" spans="1:38">
      <c r="A32" s="1" t="s">
        <v>109</v>
      </c>
      <c r="B32" s="1">
        <v>5</v>
      </c>
      <c r="C32" s="1">
        <v>500</v>
      </c>
      <c r="D32" s="1">
        <v>1000</v>
      </c>
      <c r="E32" s="1">
        <v>10000</v>
      </c>
    </row>
    <row r="33" spans="1:40">
      <c r="A33" s="1" t="s">
        <v>110</v>
      </c>
      <c r="B33" s="1">
        <v>1000000</v>
      </c>
      <c r="S33" s="1">
        <v>1000000</v>
      </c>
    </row>
    <row r="34" spans="1:40">
      <c r="A34" s="19" t="s">
        <v>111</v>
      </c>
      <c r="B34" s="1">
        <v>500</v>
      </c>
      <c r="C34" s="1">
        <v>500</v>
      </c>
      <c r="D34" s="1">
        <v>1000</v>
      </c>
      <c r="E34" s="1">
        <v>500</v>
      </c>
      <c r="H34" s="1">
        <v>500</v>
      </c>
    </row>
    <row r="35" spans="1:40">
      <c r="A35" s="19" t="s">
        <v>112</v>
      </c>
      <c r="B35" s="1">
        <v>500</v>
      </c>
      <c r="C35" s="1">
        <v>500</v>
      </c>
      <c r="D35" s="1">
        <v>500</v>
      </c>
    </row>
    <row r="36" spans="1:40">
      <c r="A36" s="1" t="s">
        <v>113</v>
      </c>
      <c r="B36" s="1">
        <v>1</v>
      </c>
      <c r="T36" s="1">
        <v>50000</v>
      </c>
      <c r="U36" s="1">
        <v>150000</v>
      </c>
      <c r="V36" s="1">
        <v>1750</v>
      </c>
      <c r="W36" s="1">
        <v>1750</v>
      </c>
      <c r="X36" s="1">
        <v>15000</v>
      </c>
      <c r="Y36" s="1">
        <v>500</v>
      </c>
      <c r="Z36" s="1">
        <v>500</v>
      </c>
      <c r="AA36" s="1">
        <v>50000</v>
      </c>
    </row>
    <row r="37" spans="1:40">
      <c r="A37" s="1" t="s">
        <v>114</v>
      </c>
      <c r="B37" s="1">
        <v>120000</v>
      </c>
      <c r="AC37" s="1">
        <v>120000</v>
      </c>
      <c r="AD37" s="1">
        <v>120000</v>
      </c>
      <c r="AE37" s="1">
        <v>10000</v>
      </c>
      <c r="AF37" s="1">
        <v>10000</v>
      </c>
      <c r="AJ37" s="1">
        <v>10000</v>
      </c>
      <c r="AM37" s="1">
        <v>10000</v>
      </c>
      <c r="AN37" s="1">
        <v>10000</v>
      </c>
    </row>
    <row r="38" spans="1:40">
      <c r="A38" s="1" t="s">
        <v>115</v>
      </c>
      <c r="B38" s="1">
        <v>500</v>
      </c>
      <c r="E38" s="1">
        <v>500</v>
      </c>
      <c r="H38" s="1">
        <v>500</v>
      </c>
    </row>
    <row r="39" spans="1:40">
      <c r="A39" s="1" t="s">
        <v>118</v>
      </c>
      <c r="B39" s="1">
        <v>3</v>
      </c>
      <c r="C39" s="1">
        <v>3000</v>
      </c>
      <c r="D39" s="1">
        <v>6000</v>
      </c>
      <c r="F39" s="1">
        <v>60000</v>
      </c>
      <c r="I39" s="1">
        <v>40000</v>
      </c>
      <c r="J39" s="1">
        <v>350000</v>
      </c>
      <c r="K39" s="1">
        <v>700000</v>
      </c>
    </row>
    <row r="40" spans="1:40">
      <c r="A40" s="1" t="s">
        <v>120</v>
      </c>
      <c r="B40" s="1">
        <v>500000</v>
      </c>
      <c r="AB40" s="1">
        <v>500000</v>
      </c>
    </row>
    <row r="41" spans="1:40">
      <c r="A41" s="1" t="s">
        <v>122</v>
      </c>
      <c r="B41" s="1">
        <v>500000</v>
      </c>
      <c r="T41" s="1">
        <v>500000</v>
      </c>
    </row>
    <row r="42" spans="1:40">
      <c r="A42" s="1" t="s">
        <v>126</v>
      </c>
      <c r="B42" s="1">
        <v>30</v>
      </c>
      <c r="C42" s="1">
        <v>3000</v>
      </c>
      <c r="D42" s="1">
        <v>3000</v>
      </c>
      <c r="F42" s="1">
        <v>90000</v>
      </c>
      <c r="I42" s="1">
        <v>90000</v>
      </c>
      <c r="J42" s="1">
        <v>180000</v>
      </c>
      <c r="K42" s="1">
        <v>900000</v>
      </c>
    </row>
    <row r="43" spans="1:40">
      <c r="A43" s="1" t="s">
        <v>114</v>
      </c>
      <c r="B43" s="1">
        <v>120000</v>
      </c>
      <c r="AC43" s="1">
        <v>120000</v>
      </c>
      <c r="AD43" s="1">
        <v>120000</v>
      </c>
      <c r="AE43" s="1">
        <v>10000</v>
      </c>
      <c r="AF43" s="1">
        <v>10000</v>
      </c>
      <c r="AJ43" s="1">
        <v>10000</v>
      </c>
      <c r="AM43" s="1">
        <v>10000</v>
      </c>
      <c r="AN43" s="1">
        <v>10000</v>
      </c>
    </row>
    <row r="44" spans="1:40">
      <c r="A44" s="1" t="s">
        <v>128</v>
      </c>
      <c r="B44" s="1">
        <v>10000</v>
      </c>
      <c r="AC44" s="1">
        <v>60000</v>
      </c>
      <c r="AD44" s="1">
        <v>60000</v>
      </c>
      <c r="AE44" s="1">
        <v>10000</v>
      </c>
      <c r="AF44" s="1">
        <v>10000</v>
      </c>
      <c r="AJ44" s="1">
        <v>10000</v>
      </c>
      <c r="AM44" s="1">
        <v>10000</v>
      </c>
      <c r="AN44" s="1">
        <v>10000</v>
      </c>
    </row>
    <row r="45" spans="1:40">
      <c r="A45" s="1" t="s">
        <v>130</v>
      </c>
      <c r="B45" s="1">
        <v>500</v>
      </c>
      <c r="C45" s="1">
        <v>500</v>
      </c>
      <c r="D45" s="1">
        <v>1500</v>
      </c>
      <c r="E45" s="1">
        <v>500</v>
      </c>
      <c r="G45" s="1">
        <v>2500</v>
      </c>
      <c r="H45" s="1">
        <v>500</v>
      </c>
      <c r="T45" s="1">
        <v>-25000</v>
      </c>
      <c r="AB45" s="1">
        <v>25000</v>
      </c>
    </row>
    <row r="46" spans="1:40">
      <c r="A46" s="1" t="s">
        <v>135</v>
      </c>
      <c r="B46" s="1">
        <v>1000</v>
      </c>
      <c r="E46" s="1">
        <v>3000</v>
      </c>
      <c r="H46" s="1">
        <v>3000</v>
      </c>
    </row>
    <row r="47" spans="1:40">
      <c r="A47" s="19" t="s">
        <v>107</v>
      </c>
      <c r="B47" s="1">
        <v>5</v>
      </c>
      <c r="C47" s="1">
        <v>500</v>
      </c>
      <c r="D47" s="1">
        <v>1500</v>
      </c>
      <c r="E47" s="1">
        <v>5000</v>
      </c>
      <c r="G47" s="1">
        <v>2500</v>
      </c>
      <c r="H47" s="1">
        <v>1500</v>
      </c>
    </row>
    <row r="48" spans="1:40">
      <c r="A48" s="1" t="s">
        <v>137</v>
      </c>
      <c r="B48" s="1">
        <v>1000</v>
      </c>
      <c r="E48" s="1">
        <v>3000</v>
      </c>
      <c r="H48" s="1">
        <v>3000</v>
      </c>
    </row>
    <row r="49" spans="1:11">
      <c r="A49" s="1" t="s">
        <v>161</v>
      </c>
      <c r="B49" s="1">
        <v>1</v>
      </c>
      <c r="C49" s="1">
        <v>800</v>
      </c>
      <c r="D49" s="1">
        <v>800</v>
      </c>
      <c r="F49" s="1">
        <v>200000</v>
      </c>
      <c r="I49" s="1">
        <v>30000</v>
      </c>
      <c r="J49" s="1">
        <v>200000</v>
      </c>
      <c r="K49" s="1">
        <v>200000</v>
      </c>
    </row>
    <row r="50" spans="1:11">
      <c r="A50" s="1" t="s">
        <v>162</v>
      </c>
      <c r="B50" s="1">
        <v>500</v>
      </c>
      <c r="E50" s="1">
        <v>1</v>
      </c>
      <c r="H50" s="1">
        <v>0.5</v>
      </c>
    </row>
  </sheetData>
  <phoneticPr fontId="1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8C476-C0D5-364C-87D7-2662F04CDF1A}">
  <sheetPr codeName="工作表5"/>
  <dimension ref="A1:AN64"/>
  <sheetViews>
    <sheetView tabSelected="1" topLeftCell="A24" workbookViewId="0">
      <pane xSplit="2" topLeftCell="L1" activePane="topRight" state="frozen"/>
      <selection activeCell="C47" sqref="C47:F47"/>
      <selection pane="topRight" activeCell="A46" sqref="A46:XFD46"/>
    </sheetView>
  </sheetViews>
  <sheetFormatPr baseColWidth="10" defaultRowHeight="18"/>
  <cols>
    <col min="1" max="1" width="10.83203125" style="1"/>
    <col min="2" max="2" width="10.83203125" style="1" customWidth="1"/>
    <col min="3" max="3" width="14.6640625" style="1" customWidth="1"/>
    <col min="4" max="4" width="15" style="1" customWidth="1"/>
    <col min="5" max="5" width="19.1640625" style="1" customWidth="1"/>
    <col min="6" max="6" width="20.5" style="1" bestFit="1" customWidth="1"/>
    <col min="7" max="7" width="14.5" style="1" customWidth="1"/>
    <col min="8" max="8" width="14.1640625" style="1" customWidth="1"/>
    <col min="9" max="9" width="23.5" style="1" customWidth="1"/>
    <col min="10" max="10" width="14.1640625" style="1" customWidth="1"/>
    <col min="11" max="11" width="15.1640625" style="1" customWidth="1"/>
    <col min="12" max="12" width="18.6640625" style="1" customWidth="1"/>
    <col min="13" max="13" width="18.33203125" style="1" customWidth="1"/>
    <col min="14" max="14" width="19" style="1" customWidth="1"/>
    <col min="15" max="15" width="17.5" style="1" customWidth="1"/>
    <col min="16" max="16" width="14.33203125" style="1" customWidth="1"/>
    <col min="17" max="17" width="12.33203125" style="1" customWidth="1"/>
    <col min="18" max="18" width="10.83203125" style="1"/>
    <col min="19" max="19" width="14" style="1" customWidth="1"/>
    <col min="20" max="21" width="10.83203125" style="1"/>
    <col min="22" max="22" width="14" style="1" customWidth="1"/>
    <col min="23" max="23" width="14.1640625" style="1" bestFit="1" customWidth="1"/>
    <col min="24" max="24" width="18.6640625" style="1" bestFit="1" customWidth="1"/>
    <col min="25" max="25" width="10.83203125" style="1"/>
    <col min="26" max="26" width="12.33203125" style="1" customWidth="1"/>
    <col min="27" max="27" width="10.83203125" style="1"/>
    <col min="28" max="28" width="14" style="1" customWidth="1"/>
    <col min="29" max="29" width="13.1640625" style="1" customWidth="1"/>
    <col min="30" max="30" width="13.33203125" style="1" customWidth="1"/>
    <col min="31" max="31" width="18" style="1" customWidth="1"/>
    <col min="32" max="32" width="17.5" style="1" customWidth="1"/>
    <col min="33" max="33" width="12.83203125" style="1" customWidth="1"/>
    <col min="34" max="34" width="13" style="1" customWidth="1"/>
    <col min="35" max="38" width="13.1640625" style="1" bestFit="1" customWidth="1"/>
    <col min="39" max="40" width="18.6640625" style="1" bestFit="1" customWidth="1"/>
    <col min="41" max="16384" width="10.83203125" style="1"/>
  </cols>
  <sheetData>
    <row r="1" spans="1:40">
      <c r="A1" s="7" t="s">
        <v>8</v>
      </c>
      <c r="B1" s="8" t="s">
        <v>9</v>
      </c>
      <c r="C1" s="9" t="s">
        <v>10</v>
      </c>
      <c r="D1" s="9" t="s">
        <v>11</v>
      </c>
      <c r="E1" s="9" t="s">
        <v>43</v>
      </c>
      <c r="F1" s="9" t="s">
        <v>45</v>
      </c>
      <c r="G1" s="9" t="s">
        <v>12</v>
      </c>
      <c r="H1" s="9" t="s">
        <v>13</v>
      </c>
      <c r="I1" s="9" t="s">
        <v>46</v>
      </c>
      <c r="J1" s="9" t="s">
        <v>14</v>
      </c>
      <c r="K1" s="9" t="s">
        <v>15</v>
      </c>
      <c r="L1" s="10" t="s">
        <v>16</v>
      </c>
      <c r="M1" s="10" t="s">
        <v>17</v>
      </c>
      <c r="N1" s="10" t="s">
        <v>18</v>
      </c>
      <c r="O1" s="10" t="s">
        <v>19</v>
      </c>
      <c r="P1" s="10" t="s">
        <v>2</v>
      </c>
      <c r="Q1" s="10" t="s">
        <v>3</v>
      </c>
      <c r="R1" s="10" t="s">
        <v>20</v>
      </c>
      <c r="S1" s="10" t="s">
        <v>21</v>
      </c>
      <c r="T1" s="11" t="s">
        <v>4</v>
      </c>
      <c r="U1" s="11" t="s">
        <v>5</v>
      </c>
      <c r="V1" s="11" t="s">
        <v>1</v>
      </c>
      <c r="W1" s="11" t="s">
        <v>22</v>
      </c>
      <c r="X1" s="11" t="s">
        <v>23</v>
      </c>
      <c r="Y1" s="11" t="s">
        <v>24</v>
      </c>
      <c r="Z1" s="11" t="s">
        <v>25</v>
      </c>
      <c r="AA1" s="11" t="s">
        <v>6</v>
      </c>
      <c r="AB1" s="12" t="s">
        <v>26</v>
      </c>
      <c r="AC1" s="13" t="s">
        <v>27</v>
      </c>
      <c r="AD1" s="13" t="s">
        <v>28</v>
      </c>
      <c r="AE1" s="13" t="s">
        <v>38</v>
      </c>
      <c r="AF1" s="13" t="s">
        <v>37</v>
      </c>
      <c r="AG1" s="13" t="s">
        <v>29</v>
      </c>
      <c r="AH1" s="13" t="s">
        <v>30</v>
      </c>
      <c r="AI1" s="13" t="s">
        <v>31</v>
      </c>
      <c r="AJ1" s="13" t="s">
        <v>32</v>
      </c>
      <c r="AK1" s="13" t="s">
        <v>33</v>
      </c>
      <c r="AL1" s="13" t="s">
        <v>34</v>
      </c>
      <c r="AM1" s="13" t="s">
        <v>35</v>
      </c>
      <c r="AN1" s="13" t="s">
        <v>36</v>
      </c>
    </row>
    <row r="2" spans="1:40">
      <c r="A2" s="16" t="s">
        <v>107</v>
      </c>
      <c r="B2" s="1">
        <v>5</v>
      </c>
      <c r="C2" s="1">
        <f>'商品Database(Key保障內容）'!C2/'商品Database(Key保障內容）'!$B$2</f>
        <v>100</v>
      </c>
      <c r="D2" s="1">
        <f>'商品Database(Key保障內容）'!D2/'商品Database(Key保障內容）'!$B$2</f>
        <v>300</v>
      </c>
      <c r="E2" s="1">
        <f>'商品Database(Key保障內容）'!E2/'商品Database(Key保障內容）'!$B$2</f>
        <v>1000</v>
      </c>
      <c r="F2" s="1">
        <f>'商品Database(Key保障內容）'!F2/'商品Database(Key保障內容）'!$B$2</f>
        <v>0</v>
      </c>
      <c r="G2" s="1">
        <f>'商品Database(Key保障內容）'!G2/'商品Database(Key保障內容）'!$B$2</f>
        <v>500</v>
      </c>
      <c r="H2" s="1">
        <f>'商品Database(Key保障內容）'!H2/'商品Database(Key保障內容）'!$B$2</f>
        <v>300</v>
      </c>
      <c r="I2" s="1">
        <f>'商品Database(Key保障內容）'!I2/'商品Database(Key保障內容）'!$B$2</f>
        <v>0</v>
      </c>
      <c r="J2" s="1">
        <f>'商品Database(Key保障內容）'!J2/'商品Database(Key保障內容）'!$B$2</f>
        <v>0</v>
      </c>
      <c r="K2" s="1">
        <f>'商品Database(Key保障內容）'!K2/'商品Database(Key保障內容）'!$B$2</f>
        <v>0</v>
      </c>
      <c r="L2" s="1">
        <f>'商品Database(Key保障內容）'!L2/'商品Database(Key保障內容）'!$B$2</f>
        <v>0</v>
      </c>
      <c r="M2" s="1">
        <f>'商品Database(Key保障內容）'!M2/'商品Database(Key保障內容）'!$B$2</f>
        <v>0</v>
      </c>
      <c r="N2" s="1">
        <f>'商品Database(Key保障內容）'!N2/'商品Database(Key保障內容）'!$B$2</f>
        <v>0</v>
      </c>
      <c r="O2" s="1">
        <f>'商品Database(Key保障內容）'!O2/'商品Database(Key保障內容）'!$B$2</f>
        <v>0</v>
      </c>
      <c r="P2" s="1">
        <f>'商品Database(Key保障內容）'!P2/'商品Database(Key保障內容）'!$B$2</f>
        <v>0</v>
      </c>
      <c r="Q2" s="1">
        <f>'商品Database(Key保障內容）'!Q2/'商品Database(Key保障內容）'!$B$2</f>
        <v>0</v>
      </c>
      <c r="R2" s="1">
        <f>'商品Database(Key保障內容）'!R2/'商品Database(Key保障內容）'!$B$2</f>
        <v>0</v>
      </c>
      <c r="S2" s="1">
        <f>'商品Database(Key保障內容）'!S2/'商品Database(Key保障內容）'!$B$2</f>
        <v>0</v>
      </c>
      <c r="T2" s="1">
        <f>'商品Database(Key保障內容）'!T2/'商品Database(Key保障內容）'!$B$2</f>
        <v>0</v>
      </c>
      <c r="U2" s="1">
        <f>'商品Database(Key保障內容）'!U2/'商品Database(Key保障內容）'!$B$2</f>
        <v>0</v>
      </c>
      <c r="V2" s="1">
        <f>'商品Database(Key保障內容）'!V2/'商品Database(Key保障內容）'!$B$2</f>
        <v>0</v>
      </c>
      <c r="W2" s="1">
        <f>'商品Database(Key保障內容）'!W2/'商品Database(Key保障內容）'!$B$2</f>
        <v>0</v>
      </c>
      <c r="X2" s="1">
        <f>'商品Database(Key保障內容）'!X2/'商品Database(Key保障內容）'!$B$2</f>
        <v>0</v>
      </c>
      <c r="Y2" s="1">
        <f>'商品Database(Key保障內容）'!Y2/'商品Database(Key保障內容）'!$B$2</f>
        <v>0</v>
      </c>
      <c r="Z2" s="1">
        <f>'商品Database(Key保障內容）'!Z2/'商品Database(Key保障內容）'!$B$2</f>
        <v>0</v>
      </c>
      <c r="AA2" s="1">
        <f>'商品Database(Key保障內容）'!AA2/'商品Database(Key保障內容）'!$B$2</f>
        <v>0</v>
      </c>
      <c r="AB2" s="1">
        <f>'商品Database(Key保障內容）'!AB2/'商品Database(Key保障內容）'!$B$2</f>
        <v>0</v>
      </c>
      <c r="AC2" s="1">
        <f>'商品Database(Key保障內容）'!AC2/'商品Database(Key保障內容）'!$B$2</f>
        <v>0</v>
      </c>
      <c r="AD2" s="1">
        <f>'商品Database(Key保障內容）'!AD2/'商品Database(Key保障內容）'!$B$2</f>
        <v>0</v>
      </c>
      <c r="AE2" s="1">
        <f>'商品Database(Key保障內容）'!AE2/'商品Database(Key保障內容）'!$B$2</f>
        <v>0</v>
      </c>
      <c r="AF2" s="1">
        <f>'商品Database(Key保障內容）'!AF2/'商品Database(Key保障內容）'!$B$2</f>
        <v>0</v>
      </c>
      <c r="AG2" s="1">
        <f>'商品Database(Key保障內容）'!AG2/'商品Database(Key保障內容）'!$B$2</f>
        <v>0</v>
      </c>
      <c r="AH2" s="1">
        <f>'商品Database(Key保障內容）'!AH2/'商品Database(Key保障內容）'!$B$2</f>
        <v>0</v>
      </c>
      <c r="AI2" s="1">
        <f>'商品Database(Key保障內容）'!AI2/'商品Database(Key保障內容）'!$B$2</f>
        <v>0</v>
      </c>
      <c r="AJ2" s="1">
        <f>'商品Database(Key保障內容）'!AJ2/'商品Database(Key保障內容）'!$B$2</f>
        <v>0</v>
      </c>
      <c r="AK2" s="1">
        <f>'商品Database(Key保障內容）'!AK2/'商品Database(Key保障內容）'!$B$2</f>
        <v>0</v>
      </c>
      <c r="AL2" s="1">
        <f>'商品Database(Key保障內容）'!AL2/'商品Database(Key保障內容）'!$B$2</f>
        <v>0</v>
      </c>
      <c r="AM2" s="1">
        <f>'商品Database(Key保障內容）'!AM2/'商品Database(Key保障內容）'!$B$2</f>
        <v>0</v>
      </c>
      <c r="AN2" s="1">
        <f>'商品Database(Key保障內容）'!AN2/'商品Database(Key保障內容）'!$B$2</f>
        <v>0</v>
      </c>
    </row>
    <row r="3" spans="1:40">
      <c r="A3" s="16" t="str">
        <f>'商品Database(Key保障內容）'!A3</f>
        <v>LEGOCF</v>
      </c>
      <c r="B3" s="1">
        <v>500</v>
      </c>
      <c r="C3" s="1">
        <f>'商品Database(Key保障內容）'!C3/'商品Database(Key保障內容）'!$B3</f>
        <v>1</v>
      </c>
      <c r="D3" s="1">
        <f>'商品Database(Key保障內容）'!D3/'商品Database(Key保障內容）'!$B3</f>
        <v>2</v>
      </c>
      <c r="E3" s="1">
        <f>'商品Database(Key保障內容）'!E3/'商品Database(Key保障內容）'!$B3</f>
        <v>1</v>
      </c>
      <c r="F3" s="1">
        <f>'商品Database(Key保障內容）'!F3/'商品Database(Key保障內容）'!$B3</f>
        <v>0</v>
      </c>
      <c r="G3" s="1">
        <f>'商品Database(Key保障內容）'!G3/'商品Database(Key保障內容）'!$B3</f>
        <v>0</v>
      </c>
      <c r="H3" s="1">
        <f>'商品Database(Key保障內容）'!H3/'商品Database(Key保障內容）'!$B3</f>
        <v>1</v>
      </c>
      <c r="I3" s="1">
        <f>'商品Database(Key保障內容）'!I3/'商品Database(Key保障內容）'!$B3</f>
        <v>0</v>
      </c>
      <c r="J3" s="1">
        <f>'商品Database(Key保障內容）'!J3/'商品Database(Key保障內容）'!$B3</f>
        <v>0</v>
      </c>
      <c r="K3" s="1">
        <f>'商品Database(Key保障內容）'!K3/'商品Database(Key保障內容）'!$B3</f>
        <v>0</v>
      </c>
      <c r="L3" s="1">
        <f>'商品Database(Key保障內容）'!L3/'商品Database(Key保障內容）'!$B3</f>
        <v>0</v>
      </c>
      <c r="M3" s="1">
        <f>'商品Database(Key保障內容）'!M3/'商品Database(Key保障內容）'!$B3</f>
        <v>0</v>
      </c>
      <c r="N3" s="1">
        <f>'商品Database(Key保障內容）'!N3/'商品Database(Key保障內容）'!$B3</f>
        <v>0</v>
      </c>
      <c r="O3" s="1">
        <f>'商品Database(Key保障內容）'!O3/'商品Database(Key保障內容）'!$B3</f>
        <v>0</v>
      </c>
      <c r="P3" s="1">
        <f>'商品Database(Key保障內容）'!P3/'商品Database(Key保障內容）'!$B3</f>
        <v>0</v>
      </c>
      <c r="Q3" s="1">
        <f>'商品Database(Key保障內容）'!Q3/'商品Database(Key保障內容）'!$B3</f>
        <v>0</v>
      </c>
      <c r="R3" s="1">
        <f>'商品Database(Key保障內容）'!R3/'商品Database(Key保障內容）'!$B3</f>
        <v>0</v>
      </c>
      <c r="S3" s="1">
        <f>'商品Database(Key保障內容）'!S3/'商品Database(Key保障內容）'!$B3</f>
        <v>0</v>
      </c>
      <c r="T3" s="1">
        <f>'商品Database(Key保障內容）'!T3/'商品Database(Key保障內容）'!$B3</f>
        <v>0</v>
      </c>
      <c r="U3" s="1">
        <f>'商品Database(Key保障內容）'!U3/'商品Database(Key保障內容）'!$B3</f>
        <v>0</v>
      </c>
      <c r="V3" s="1">
        <f>'商品Database(Key保障內容）'!V3/'商品Database(Key保障內容）'!$B3</f>
        <v>0</v>
      </c>
      <c r="W3" s="1">
        <f>'商品Database(Key保障內容）'!W3/'商品Database(Key保障內容）'!$B3</f>
        <v>0</v>
      </c>
      <c r="X3" s="1">
        <f>'商品Database(Key保障內容）'!X3/'商品Database(Key保障內容）'!$B3</f>
        <v>0</v>
      </c>
      <c r="Y3" s="1">
        <f>'商品Database(Key保障內容）'!Y3/'商品Database(Key保障內容）'!$B3</f>
        <v>0</v>
      </c>
      <c r="Z3" s="1">
        <f>'商品Database(Key保障內容）'!Z3/'商品Database(Key保障內容）'!$B3</f>
        <v>0</v>
      </c>
      <c r="AA3" s="1">
        <f>'商品Database(Key保障內容）'!AA3/'商品Database(Key保障內容）'!$B3</f>
        <v>0</v>
      </c>
      <c r="AB3" s="1">
        <f>'商品Database(Key保障內容）'!AB3/'商品Database(Key保障內容）'!$B3</f>
        <v>0</v>
      </c>
      <c r="AC3" s="1">
        <f>'商品Database(Key保障內容）'!AC3/'商品Database(Key保障內容）'!$B3</f>
        <v>0</v>
      </c>
      <c r="AD3" s="1">
        <f>'商品Database(Key保障內容）'!AD3/'商品Database(Key保障內容）'!$B3</f>
        <v>0</v>
      </c>
      <c r="AE3" s="1">
        <f>'商品Database(Key保障內容）'!AE3/'商品Database(Key保障內容）'!$B3</f>
        <v>0</v>
      </c>
      <c r="AF3" s="1">
        <f>'商品Database(Key保障內容）'!AF3/'商品Database(Key保障內容）'!$B3</f>
        <v>0</v>
      </c>
      <c r="AG3" s="1">
        <f>'商品Database(Key保障內容）'!AG3/'商品Database(Key保障內容）'!$B3</f>
        <v>0</v>
      </c>
      <c r="AH3" s="1">
        <f>'商品Database(Key保障內容）'!AH3/'商品Database(Key保障內容）'!$B3</f>
        <v>0</v>
      </c>
      <c r="AI3" s="1">
        <f>'商品Database(Key保障內容）'!AI3/'商品Database(Key保障內容）'!$B3</f>
        <v>0</v>
      </c>
      <c r="AJ3" s="1">
        <f>'商品Database(Key保障內容）'!AJ3/'商品Database(Key保障內容）'!$B3</f>
        <v>0</v>
      </c>
      <c r="AK3" s="1">
        <f>'商品Database(Key保障內容）'!AK3/'商品Database(Key保障內容）'!$B3</f>
        <v>0</v>
      </c>
      <c r="AL3" s="1">
        <f>'商品Database(Key保障內容）'!AL3/'商品Database(Key保障內容）'!$B3</f>
        <v>0</v>
      </c>
      <c r="AM3" s="1">
        <f>'商品Database(Key保障內容）'!AM3/'商品Database(Key保障內容）'!$B3</f>
        <v>0</v>
      </c>
      <c r="AN3" s="1">
        <f>'商品Database(Key保障內容）'!AN3/'商品Database(Key保障內容）'!$B3</f>
        <v>0</v>
      </c>
    </row>
    <row r="4" spans="1:40">
      <c r="A4" s="16" t="str">
        <f>'商品Database(Key保障內容）'!A4</f>
        <v>LEGOAD</v>
      </c>
      <c r="B4" s="1">
        <v>500</v>
      </c>
      <c r="C4" s="1">
        <f>'商品Database(Key保障內容）'!C4/'商品Database(Key保障內容）'!$B4</f>
        <v>1</v>
      </c>
      <c r="D4" s="1">
        <f>'商品Database(Key保障內容）'!D4/'商品Database(Key保障內容）'!$B4</f>
        <v>0</v>
      </c>
      <c r="E4" s="1">
        <f>'商品Database(Key保障內容）'!E4/'商品Database(Key保障內容）'!$B4</f>
        <v>0</v>
      </c>
      <c r="F4" s="1">
        <f>'商品Database(Key保障內容）'!F4/'商品Database(Key保障內容）'!$B4</f>
        <v>0</v>
      </c>
      <c r="G4" s="1">
        <f>'商品Database(Key保障內容）'!G4/'商品Database(Key保障內容）'!$B4</f>
        <v>0</v>
      </c>
      <c r="H4" s="1">
        <f>'商品Database(Key保障內容）'!H4/'商品Database(Key保障內容）'!$B4</f>
        <v>0</v>
      </c>
      <c r="I4" s="1">
        <f>'商品Database(Key保障內容）'!I4/'商品Database(Key保障內容）'!$B4</f>
        <v>0</v>
      </c>
      <c r="J4" s="1">
        <f>'商品Database(Key保障內容）'!J4/'商品Database(Key保障內容）'!$B4</f>
        <v>0</v>
      </c>
      <c r="K4" s="1">
        <f>'商品Database(Key保障內容）'!K4/'商品Database(Key保障內容）'!$B4</f>
        <v>0</v>
      </c>
      <c r="L4" s="1">
        <f>'商品Database(Key保障內容）'!L4/'商品Database(Key保障內容）'!$B4</f>
        <v>0</v>
      </c>
      <c r="M4" s="1">
        <f>'商品Database(Key保障內容）'!M4/'商品Database(Key保障內容）'!$B4</f>
        <v>0</v>
      </c>
      <c r="N4" s="1">
        <f>'商品Database(Key保障內容）'!N4/'商品Database(Key保障內容）'!$B4</f>
        <v>0</v>
      </c>
      <c r="O4" s="1">
        <f>'商品Database(Key保障內容）'!O4/'商品Database(Key保障內容）'!$B4</f>
        <v>0</v>
      </c>
      <c r="P4" s="1">
        <f>'商品Database(Key保障內容）'!P4/'商品Database(Key保障內容）'!$B4</f>
        <v>0</v>
      </c>
      <c r="Q4" s="1">
        <f>'商品Database(Key保障內容）'!Q4/'商品Database(Key保障內容）'!$B4</f>
        <v>0</v>
      </c>
      <c r="R4" s="1">
        <f>'商品Database(Key保障內容）'!R4/'商品Database(Key保障內容）'!$B4</f>
        <v>0</v>
      </c>
      <c r="S4" s="1">
        <f>'商品Database(Key保障內容）'!S4/'商品Database(Key保障內容）'!$B4</f>
        <v>0</v>
      </c>
      <c r="T4" s="1">
        <f>'商品Database(Key保障內容）'!T4/'商品Database(Key保障內容）'!$B4</f>
        <v>0</v>
      </c>
      <c r="U4" s="1">
        <f>'商品Database(Key保障內容）'!U4/'商品Database(Key保障內容）'!$B4</f>
        <v>0</v>
      </c>
      <c r="V4" s="1">
        <f>'商品Database(Key保障內容）'!V4/'商品Database(Key保障內容）'!$B4</f>
        <v>0</v>
      </c>
      <c r="W4" s="1">
        <f>'商品Database(Key保障內容）'!W4/'商品Database(Key保障內容）'!$B4</f>
        <v>0</v>
      </c>
      <c r="X4" s="1">
        <f>'商品Database(Key保障內容）'!X4/'商品Database(Key保障內容）'!$B4</f>
        <v>0</v>
      </c>
      <c r="Y4" s="1">
        <f>'商品Database(Key保障內容）'!Y4/'商品Database(Key保障內容）'!$B4</f>
        <v>0</v>
      </c>
      <c r="Z4" s="1">
        <f>'商品Database(Key保障內容）'!Z4/'商品Database(Key保障內容）'!$B4</f>
        <v>0</v>
      </c>
      <c r="AA4" s="1">
        <f>'商品Database(Key保障內容）'!AA4/'商品Database(Key保障內容）'!$B4</f>
        <v>0</v>
      </c>
      <c r="AB4" s="1">
        <f>'商品Database(Key保障內容）'!AB4/'商品Database(Key保障內容）'!$B4</f>
        <v>0</v>
      </c>
      <c r="AC4" s="1">
        <f>'商品Database(Key保障內容）'!AC4/'商品Database(Key保障內容）'!$B4</f>
        <v>0</v>
      </c>
      <c r="AD4" s="1">
        <f>'商品Database(Key保障內容）'!AD4/'商品Database(Key保障內容）'!$B4</f>
        <v>0</v>
      </c>
      <c r="AE4" s="1">
        <f>'商品Database(Key保障內容）'!AE4/'商品Database(Key保障內容）'!$B4</f>
        <v>0</v>
      </c>
      <c r="AF4" s="1">
        <f>'商品Database(Key保障內容）'!AF4/'商品Database(Key保障內容）'!$B4</f>
        <v>0</v>
      </c>
      <c r="AG4" s="1">
        <f>'商品Database(Key保障內容）'!AG4/'商品Database(Key保障內容）'!$B4</f>
        <v>0</v>
      </c>
      <c r="AH4" s="1">
        <f>'商品Database(Key保障內容）'!AH4/'商品Database(Key保障內容）'!$B4</f>
        <v>0</v>
      </c>
      <c r="AI4" s="1">
        <f>'商品Database(Key保障內容）'!AI4/'商品Database(Key保障內容）'!$B4</f>
        <v>0</v>
      </c>
      <c r="AJ4" s="1">
        <f>'商品Database(Key保障內容）'!AJ4/'商品Database(Key保障內容）'!$B4</f>
        <v>0</v>
      </c>
      <c r="AK4" s="1">
        <f>'商品Database(Key保障內容）'!AK4/'商品Database(Key保障內容）'!$B4</f>
        <v>0</v>
      </c>
      <c r="AL4" s="1">
        <f>'商品Database(Key保障內容）'!AL4/'商品Database(Key保障內容）'!$B4</f>
        <v>0</v>
      </c>
      <c r="AM4" s="1">
        <f>'商品Database(Key保障內容）'!AM4/'商品Database(Key保障內容）'!$B4</f>
        <v>0</v>
      </c>
      <c r="AN4" s="1">
        <f>'商品Database(Key保障內容）'!AN4/'商品Database(Key保障內容）'!$B4</f>
        <v>0</v>
      </c>
    </row>
    <row r="5" spans="1:40">
      <c r="A5" s="16" t="str">
        <f>'商品Database(Key保障內容）'!A5</f>
        <v>LEGOHE</v>
      </c>
      <c r="B5" s="1">
        <v>12</v>
      </c>
      <c r="C5" s="1">
        <f>'商品Database(Key保障內容）'!C5/'商品Database(Key保障內容）'!$B5</f>
        <v>0</v>
      </c>
      <c r="D5" s="1">
        <f>'商品Database(Key保障內容）'!D5/'商品Database(Key保障內容）'!$B5</f>
        <v>0</v>
      </c>
      <c r="E5" s="1">
        <f>'商品Database(Key保障內容）'!E5/'商品Database(Key保障內容）'!$B5</f>
        <v>0</v>
      </c>
      <c r="F5" s="1">
        <f>'商品Database(Key保障內容）'!F5/'商品Database(Key保障內容）'!$B5</f>
        <v>0</v>
      </c>
      <c r="G5" s="1">
        <f>'商品Database(Key保障內容）'!G5/'商品Database(Key保障內容）'!$B5</f>
        <v>0</v>
      </c>
      <c r="H5" s="1">
        <f>'商品Database(Key保障內容）'!H5/'商品Database(Key保障內容）'!$B5</f>
        <v>0</v>
      </c>
      <c r="I5" s="1">
        <f>'商品Database(Key保障內容）'!I5/'商品Database(Key保障內容）'!$B5</f>
        <v>0</v>
      </c>
      <c r="J5" s="1">
        <f>'商品Database(Key保障內容）'!J5/'商品Database(Key保障內容）'!$B5</f>
        <v>0</v>
      </c>
      <c r="K5" s="1">
        <f>'商品Database(Key保障內容）'!K5/'商品Database(Key保障內容）'!$B5</f>
        <v>0</v>
      </c>
      <c r="L5" s="1">
        <f>'商品Database(Key保障內容）'!L5/'商品Database(Key保障內容）'!$B5</f>
        <v>0</v>
      </c>
      <c r="M5" s="1">
        <f>'商品Database(Key保障內容）'!M5/'商品Database(Key保障內容）'!$B5</f>
        <v>0</v>
      </c>
      <c r="N5" s="1">
        <f>'商品Database(Key保障內容）'!N5/'商品Database(Key保障內容）'!$B5</f>
        <v>0</v>
      </c>
      <c r="O5" s="1">
        <f>'商品Database(Key保障內容）'!O5/'商品Database(Key保障內容）'!$B5</f>
        <v>0</v>
      </c>
      <c r="P5" s="1">
        <f>'商品Database(Key保障內容）'!P5/'商品Database(Key保障內容）'!$B5</f>
        <v>0</v>
      </c>
      <c r="Q5" s="1">
        <f>'商品Database(Key保障內容）'!Q5/'商品Database(Key保障內容）'!$B5</f>
        <v>0</v>
      </c>
      <c r="R5" s="1">
        <f>'商品Database(Key保障內容）'!R5/'商品Database(Key保障內容）'!$B5</f>
        <v>0</v>
      </c>
      <c r="S5" s="1">
        <f>'商品Database(Key保障內容）'!S5/'商品Database(Key保障內容）'!$B5</f>
        <v>0</v>
      </c>
      <c r="T5" s="1">
        <f>'商品Database(Key保障內容）'!T5/'商品Database(Key保障內容）'!$B5</f>
        <v>0</v>
      </c>
      <c r="U5" s="1">
        <f>'商品Database(Key保障內容）'!U5/'商品Database(Key保障內容）'!$B5</f>
        <v>0</v>
      </c>
      <c r="V5" s="1">
        <f>'商品Database(Key保障內容）'!V5/'商品Database(Key保障內容）'!$B5</f>
        <v>0</v>
      </c>
      <c r="W5" s="1">
        <f>'商品Database(Key保障內容）'!W5/'商品Database(Key保障內容）'!$B5</f>
        <v>0</v>
      </c>
      <c r="X5" s="1">
        <f>'商品Database(Key保障內容）'!X5/'商品Database(Key保障內容）'!$B5</f>
        <v>0</v>
      </c>
      <c r="Y5" s="1">
        <f>'商品Database(Key保障內容）'!Y5/'商品Database(Key保障內容）'!$B5</f>
        <v>0</v>
      </c>
      <c r="Z5" s="1">
        <f>'商品Database(Key保障內容）'!Z5/'商品Database(Key保障內容）'!$B5</f>
        <v>0</v>
      </c>
      <c r="AA5" s="1">
        <f>'商品Database(Key保障內容）'!AA5/'商品Database(Key保障內容）'!$B5</f>
        <v>0</v>
      </c>
      <c r="AB5" s="1">
        <f>'商品Database(Key保障內容）'!AB5/'商品Database(Key保障內容）'!$B5</f>
        <v>0</v>
      </c>
      <c r="AC5" s="1">
        <f>'商品Database(Key保障內容）'!AC5/'商品Database(Key保障內容）'!$B5</f>
        <v>1</v>
      </c>
      <c r="AD5" s="1">
        <f>'商品Database(Key保障內容）'!AD5/'商品Database(Key保障內容）'!$B5</f>
        <v>1</v>
      </c>
      <c r="AE5" s="1">
        <f>'商品Database(Key保障內容）'!AE5/'商品Database(Key保障內容）'!$B5</f>
        <v>8.3333333333333329E-2</v>
      </c>
      <c r="AF5" s="1">
        <f>'商品Database(Key保障內容）'!AF5/'商品Database(Key保障內容）'!$B5</f>
        <v>8.3333333333333329E-2</v>
      </c>
      <c r="AG5" s="1">
        <f>'商品Database(Key保障內容）'!AG5/'商品Database(Key保障內容）'!$B5</f>
        <v>0</v>
      </c>
      <c r="AH5" s="1">
        <f>'商品Database(Key保障內容）'!AH5/'商品Database(Key保障內容）'!$B5</f>
        <v>0</v>
      </c>
      <c r="AI5" s="1">
        <f>'商品Database(Key保障內容）'!AI5/'商品Database(Key保障內容）'!$B5</f>
        <v>0</v>
      </c>
      <c r="AJ5" s="1">
        <f>'商品Database(Key保障內容）'!AJ5/'商品Database(Key保障內容）'!$B5</f>
        <v>8.3333333333333329E-2</v>
      </c>
      <c r="AK5" s="1">
        <f>'商品Database(Key保障內容）'!AK5/'商品Database(Key保障內容）'!$B5</f>
        <v>0</v>
      </c>
      <c r="AL5" s="1">
        <f>'商品Database(Key保障內容）'!AL5/'商品Database(Key保障內容）'!$B5</f>
        <v>0</v>
      </c>
      <c r="AM5" s="1">
        <f>'商品Database(Key保障內容）'!AM5/'商品Database(Key保障內容）'!$B5</f>
        <v>8.3333333333333329E-2</v>
      </c>
      <c r="AN5" s="1">
        <f>'商品Database(Key保障內容）'!AN5/'商品Database(Key保障內容）'!$B5</f>
        <v>8.3333333333333329E-2</v>
      </c>
    </row>
    <row r="6" spans="1:40">
      <c r="A6" s="16" t="str">
        <f>'商品Database(Key保障內容）'!A6</f>
        <v>LEGOEF</v>
      </c>
      <c r="B6" s="1">
        <v>50</v>
      </c>
      <c r="C6" s="1">
        <f>'商品Database(Key保障內容）'!C6/'商品Database(Key保障內容）'!$B6</f>
        <v>0</v>
      </c>
      <c r="D6" s="1">
        <f>'商品Database(Key保障內容）'!D6/'商品Database(Key保障內容）'!$B6</f>
        <v>0</v>
      </c>
      <c r="E6" s="1">
        <f>'商品Database(Key保障內容）'!E6/'商品Database(Key保障內容）'!$B6</f>
        <v>0</v>
      </c>
      <c r="F6" s="1">
        <f>'商品Database(Key保障內容）'!F6/'商品Database(Key保障內容）'!$B6</f>
        <v>0</v>
      </c>
      <c r="G6" s="1">
        <f>'商品Database(Key保障內容）'!G6/'商品Database(Key保障內容）'!$B6</f>
        <v>0</v>
      </c>
      <c r="H6" s="1">
        <f>'商品Database(Key保障內容）'!H6/'商品Database(Key保障內容）'!$B6</f>
        <v>0</v>
      </c>
      <c r="I6" s="1">
        <f>'商品Database(Key保障內容）'!I6/'商品Database(Key保障內容）'!$B6</f>
        <v>0</v>
      </c>
      <c r="J6" s="1">
        <f>'商品Database(Key保障內容）'!J6/'商品Database(Key保障內容）'!$B6</f>
        <v>0</v>
      </c>
      <c r="K6" s="1">
        <f>'商品Database(Key保障內容）'!K6/'商品Database(Key保障內容）'!$B6</f>
        <v>0</v>
      </c>
      <c r="L6" s="1">
        <f>'商品Database(Key保障內容）'!L6/'商品Database(Key保障內容）'!$B6</f>
        <v>0</v>
      </c>
      <c r="M6" s="1">
        <f>'商品Database(Key保障內容）'!M6/'商品Database(Key保障內容）'!$B6</f>
        <v>0</v>
      </c>
      <c r="N6" s="1">
        <f>'商品Database(Key保障內容）'!N6/'商品Database(Key保障內容）'!$B6</f>
        <v>0</v>
      </c>
      <c r="O6" s="1">
        <f>'商品Database(Key保障內容）'!O6/'商品Database(Key保障內容）'!$B6</f>
        <v>0</v>
      </c>
      <c r="P6" s="1">
        <f>'商品Database(Key保障內容）'!P6/'商品Database(Key保障內容）'!$B6</f>
        <v>0</v>
      </c>
      <c r="Q6" s="1">
        <f>'商品Database(Key保障內容）'!Q6/'商品Database(Key保障內容）'!$B6</f>
        <v>0</v>
      </c>
      <c r="R6" s="1">
        <f>'商品Database(Key保障內容）'!R6/'商品Database(Key保障內容）'!$B6</f>
        <v>0</v>
      </c>
      <c r="S6" s="1">
        <f>'商品Database(Key保障內容）'!S6/'商品Database(Key保障內容）'!$B6</f>
        <v>0</v>
      </c>
      <c r="T6" s="1">
        <f>'商品Database(Key保障內容）'!T6/'商品Database(Key保障內容）'!$B6</f>
        <v>0</v>
      </c>
      <c r="U6" s="1">
        <f>'商品Database(Key保障內容）'!U6/'商品Database(Key保障內容）'!$B6</f>
        <v>0</v>
      </c>
      <c r="V6" s="1">
        <f>'商品Database(Key保障內容）'!V6/'商品Database(Key保障內容）'!$B6</f>
        <v>0</v>
      </c>
      <c r="W6" s="1">
        <f>'商品Database(Key保障內容）'!W6/'商品Database(Key保障內容）'!$B6</f>
        <v>0</v>
      </c>
      <c r="X6" s="1">
        <f>'商品Database(Key保障內容）'!X6/'商品Database(Key保障內容）'!$B6</f>
        <v>0</v>
      </c>
      <c r="Y6" s="1">
        <f>'商品Database(Key保障內容）'!Y6/'商品Database(Key保障內容）'!$B6</f>
        <v>0</v>
      </c>
      <c r="Z6" s="1">
        <f>'商品Database(Key保障內容）'!Z6/'商品Database(Key保障內容）'!$B6</f>
        <v>0</v>
      </c>
      <c r="AA6" s="1">
        <f>'商品Database(Key保障內容）'!AA6/'商品Database(Key保障內容）'!$B6</f>
        <v>0</v>
      </c>
      <c r="AB6" s="1">
        <f>'商品Database(Key保障內容）'!AB6/'商品Database(Key保障內容）'!$B6</f>
        <v>0</v>
      </c>
      <c r="AC6" s="1">
        <f>'商品Database(Key保障內容）'!AC6/'商品Database(Key保障內容）'!$B6</f>
        <v>0.25</v>
      </c>
      <c r="AD6" s="1">
        <f>'商品Database(Key保障內容）'!AD6/'商品Database(Key保障內容）'!$B6</f>
        <v>0</v>
      </c>
      <c r="AE6" s="1">
        <f>'商品Database(Key保障內容）'!AE6/'商品Database(Key保障內容）'!$B6</f>
        <v>0</v>
      </c>
      <c r="AF6" s="1">
        <f>'商品Database(Key保障內容）'!AF6/'商品Database(Key保障內容）'!$B6</f>
        <v>0</v>
      </c>
      <c r="AG6" s="1">
        <f>'商品Database(Key保障內容）'!AG6/'商品Database(Key保障內容）'!$B6</f>
        <v>2.0833999999999998E-2</v>
      </c>
      <c r="AH6" s="1">
        <f>'商品Database(Key保障內容）'!AH6/'商品Database(Key保障內容）'!$B6</f>
        <v>2.0833999999999998E-2</v>
      </c>
      <c r="AI6" s="1">
        <f>'商品Database(Key保障內容）'!AI6/'商品Database(Key保障內容）'!$B6</f>
        <v>0</v>
      </c>
      <c r="AJ6" s="1">
        <f>'商品Database(Key保障內容）'!AJ6/'商品Database(Key保障內容）'!$B6</f>
        <v>0</v>
      </c>
      <c r="AK6" s="1">
        <f>'商品Database(Key保障內容）'!AK6/'商品Database(Key保障內容）'!$B6</f>
        <v>0</v>
      </c>
      <c r="AL6" s="1">
        <f>'商品Database(Key保障內容）'!AL6/'商品Database(Key保障內容）'!$B6</f>
        <v>0</v>
      </c>
      <c r="AM6" s="1">
        <f>'商品Database(Key保障內容）'!AM6/'商品Database(Key保障內容）'!$B6</f>
        <v>0</v>
      </c>
      <c r="AN6" s="1">
        <f>'商品Database(Key保障內容）'!AN6/'商品Database(Key保障內容）'!$B6</f>
        <v>0</v>
      </c>
    </row>
    <row r="7" spans="1:40">
      <c r="A7" s="16" t="str">
        <f>'商品Database(Key保障內容）'!A7</f>
        <v>LSCN</v>
      </c>
      <c r="B7" s="1">
        <v>1</v>
      </c>
      <c r="C7" s="1">
        <f>'商品Database(Key保障內容）'!C7/'商品Database(Key保障內容）'!$B7</f>
        <v>0</v>
      </c>
      <c r="D7" s="1">
        <f>'商品Database(Key保障內容）'!D7/'商品Database(Key保障內容）'!$B7</f>
        <v>0</v>
      </c>
      <c r="E7" s="1">
        <f>'商品Database(Key保障內容）'!E7/'商品Database(Key保障內容）'!$B7</f>
        <v>0</v>
      </c>
      <c r="F7" s="1">
        <f>'商品Database(Key保障內容）'!F7/'商品Database(Key保障內容）'!$B7</f>
        <v>0</v>
      </c>
      <c r="G7" s="1">
        <f>'商品Database(Key保障內容）'!G7/'商品Database(Key保障內容）'!$B7</f>
        <v>0</v>
      </c>
      <c r="H7" s="1">
        <f>'商品Database(Key保障內容）'!H7/'商品Database(Key保障內容）'!$B7</f>
        <v>0</v>
      </c>
      <c r="I7" s="1">
        <f>'商品Database(Key保障內容）'!I7/'商品Database(Key保障內容）'!$B7</f>
        <v>0</v>
      </c>
      <c r="J7" s="1">
        <f>'商品Database(Key保障內容）'!J7/'商品Database(Key保障內容）'!$B7</f>
        <v>0</v>
      </c>
      <c r="K7" s="1">
        <f>'商品Database(Key保障內容）'!K7/'商品Database(Key保障內容）'!$B7</f>
        <v>0</v>
      </c>
      <c r="L7" s="1">
        <f>'商品Database(Key保障內容）'!L7/'商品Database(Key保障內容）'!$B7</f>
        <v>0</v>
      </c>
      <c r="M7" s="1">
        <f>'商品Database(Key保障內容）'!M7/'商品Database(Key保障內容）'!$B7</f>
        <v>0</v>
      </c>
      <c r="N7" s="1">
        <f>'商品Database(Key保障內容）'!N7/'商品Database(Key保障內容）'!$B7</f>
        <v>0</v>
      </c>
      <c r="O7" s="1">
        <f>'商品Database(Key保障內容）'!O7/'商品Database(Key保障內容）'!$B7</f>
        <v>0</v>
      </c>
      <c r="P7" s="1">
        <f>'商品Database(Key保障內容）'!P7/'商品Database(Key保障內容）'!$B7</f>
        <v>0</v>
      </c>
      <c r="Q7" s="1">
        <f>'商品Database(Key保障內容）'!Q7/'商品Database(Key保障內容）'!$B7</f>
        <v>0</v>
      </c>
      <c r="R7" s="1">
        <f>'商品Database(Key保障內容）'!R7/'商品Database(Key保障內容）'!$B7</f>
        <v>0</v>
      </c>
      <c r="S7" s="1">
        <f>'商品Database(Key保障內容）'!S7/'商品Database(Key保障內容）'!$B7</f>
        <v>0</v>
      </c>
      <c r="T7" s="1">
        <f>'商品Database(Key保障內容）'!T7/'商品Database(Key保障內容）'!$B7</f>
        <v>50000</v>
      </c>
      <c r="U7" s="1">
        <f>'商品Database(Key保障內容）'!U7/'商品Database(Key保障內容）'!$B7</f>
        <v>150000</v>
      </c>
      <c r="V7" s="1">
        <f>'商品Database(Key保障內容）'!V7/'商品Database(Key保障內容）'!$B7</f>
        <v>1750</v>
      </c>
      <c r="W7" s="1">
        <f>'商品Database(Key保障內容）'!W7/'商品Database(Key保障內容）'!$B7</f>
        <v>1750</v>
      </c>
      <c r="X7" s="1">
        <f>'商品Database(Key保障內容）'!X7/'商品Database(Key保障內容）'!$B7</f>
        <v>15000</v>
      </c>
      <c r="Y7" s="1">
        <f>'商品Database(Key保障內容）'!Y7/'商品Database(Key保障內容）'!$B7</f>
        <v>500</v>
      </c>
      <c r="Z7" s="1">
        <f>'商品Database(Key保障內容）'!Z7/'商品Database(Key保障內容）'!$B7</f>
        <v>500</v>
      </c>
      <c r="AA7" s="1">
        <f>'商品Database(Key保障內容）'!AA7/'商品Database(Key保障內容）'!$B7</f>
        <v>50000</v>
      </c>
      <c r="AB7" s="1">
        <f>'商品Database(Key保障內容）'!AB7/'商品Database(Key保障內容）'!$B7</f>
        <v>0</v>
      </c>
      <c r="AC7" s="1">
        <f>'商品Database(Key保障內容）'!AC7/'商品Database(Key保障內容）'!$B7</f>
        <v>0</v>
      </c>
      <c r="AD7" s="1">
        <f>'商品Database(Key保障內容）'!AD7/'商品Database(Key保障內容）'!$B7</f>
        <v>0</v>
      </c>
      <c r="AE7" s="1">
        <f>'商品Database(Key保障內容）'!AE7/'商品Database(Key保障內容）'!$B7</f>
        <v>0</v>
      </c>
      <c r="AF7" s="1">
        <f>'商品Database(Key保障內容）'!AF7/'商品Database(Key保障內容）'!$B7</f>
        <v>0</v>
      </c>
      <c r="AG7" s="1">
        <f>'商品Database(Key保障內容）'!AG7/'商品Database(Key保障內容）'!$B7</f>
        <v>0</v>
      </c>
      <c r="AH7" s="1">
        <f>'商品Database(Key保障內容）'!AH7/'商品Database(Key保障內容）'!$B7</f>
        <v>0</v>
      </c>
      <c r="AI7" s="1">
        <f>'商品Database(Key保障內容）'!AI7/'商品Database(Key保障內容）'!$B7</f>
        <v>0</v>
      </c>
      <c r="AJ7" s="1">
        <f>'商品Database(Key保障內容）'!AJ7/'商品Database(Key保障內容）'!$B7</f>
        <v>0</v>
      </c>
      <c r="AK7" s="1">
        <f>'商品Database(Key保障內容）'!AK7/'商品Database(Key保障內容）'!$B7</f>
        <v>0</v>
      </c>
      <c r="AL7" s="1">
        <f>'商品Database(Key保障內容）'!AL7/'商品Database(Key保障內容）'!$B7</f>
        <v>0</v>
      </c>
      <c r="AM7" s="1">
        <f>'商品Database(Key保障內容）'!AM7/'商品Database(Key保障內容）'!$B7</f>
        <v>0</v>
      </c>
      <c r="AN7" s="1">
        <f>'商品Database(Key保障內容）'!AN7/'商品Database(Key保障內容）'!$B7</f>
        <v>0</v>
      </c>
    </row>
    <row r="8" spans="1:40">
      <c r="A8" s="16" t="str">
        <f>'商品Database(Key保障內容）'!A8</f>
        <v>LEGONC</v>
      </c>
      <c r="B8" s="1">
        <v>100000</v>
      </c>
      <c r="C8" s="1">
        <f>'商品Database(Key保障內容）'!C8/'商品Database(Key保障內容）'!$B8</f>
        <v>0</v>
      </c>
      <c r="D8" s="1">
        <f>'商品Database(Key保障內容）'!D8/'商品Database(Key保障內容）'!$B8</f>
        <v>0</v>
      </c>
      <c r="E8" s="1">
        <f>'商品Database(Key保障內容）'!E8/'商品Database(Key保障內容）'!$B8</f>
        <v>0</v>
      </c>
      <c r="F8" s="1">
        <f>'商品Database(Key保障內容）'!F8/'商品Database(Key保障內容）'!$B8</f>
        <v>0</v>
      </c>
      <c r="G8" s="1">
        <f>'商品Database(Key保障內容）'!G8/'商品Database(Key保障內容）'!$B8</f>
        <v>0</v>
      </c>
      <c r="H8" s="1">
        <f>'商品Database(Key保障內容）'!H8/'商品Database(Key保障內容）'!$B8</f>
        <v>0</v>
      </c>
      <c r="I8" s="1">
        <f>'商品Database(Key保障內容）'!I8/'商品Database(Key保障內容）'!$B8</f>
        <v>0</v>
      </c>
      <c r="J8" s="1">
        <f>'商品Database(Key保障內容）'!J8/'商品Database(Key保障內容）'!$B8</f>
        <v>0</v>
      </c>
      <c r="K8" s="1">
        <f>'商品Database(Key保障內容）'!K8/'商品Database(Key保障內容）'!$B8</f>
        <v>0</v>
      </c>
      <c r="L8" s="1">
        <f>'商品Database(Key保障內容）'!L8/'商品Database(Key保障內容）'!$B8</f>
        <v>0</v>
      </c>
      <c r="M8" s="1">
        <f>'商品Database(Key保障內容）'!M8/'商品Database(Key保障內容）'!$B8</f>
        <v>0</v>
      </c>
      <c r="N8" s="1">
        <f>'商品Database(Key保障內容）'!N8/'商品Database(Key保障內容）'!$B8</f>
        <v>0</v>
      </c>
      <c r="O8" s="1">
        <f>'商品Database(Key保障內容）'!O8/'商品Database(Key保障內容）'!$B8</f>
        <v>0</v>
      </c>
      <c r="P8" s="1">
        <f>'商品Database(Key保障內容）'!P8/'商品Database(Key保障內容）'!$B8</f>
        <v>0</v>
      </c>
      <c r="Q8" s="1">
        <f>'商品Database(Key保障內容）'!Q8/'商品Database(Key保障內容）'!$B8</f>
        <v>0</v>
      </c>
      <c r="R8" s="1">
        <f>'商品Database(Key保障內容）'!R8/'商品Database(Key保障內容）'!$B8</f>
        <v>0</v>
      </c>
      <c r="S8" s="1">
        <f>'商品Database(Key保障內容）'!S8/'商品Database(Key保障內容）'!$B8</f>
        <v>0</v>
      </c>
      <c r="T8" s="1">
        <f>'商品Database(Key保障內容）'!T8/'商品Database(Key保障內容）'!$B8</f>
        <v>1</v>
      </c>
      <c r="U8" s="1">
        <f>'商品Database(Key保障內容）'!U8/'商品Database(Key保障內容）'!$B8</f>
        <v>0</v>
      </c>
      <c r="V8" s="1">
        <f>'商品Database(Key保障內容）'!V8/'商品Database(Key保障內容）'!$B8</f>
        <v>0</v>
      </c>
      <c r="W8" s="1">
        <f>'商品Database(Key保障內容）'!W8/'商品Database(Key保障內容）'!$B8</f>
        <v>0</v>
      </c>
      <c r="X8" s="1">
        <f>'商品Database(Key保障內容）'!X8/'商品Database(Key保障內容）'!$B8</f>
        <v>0</v>
      </c>
      <c r="Y8" s="1">
        <f>'商品Database(Key保障內容）'!Y8/'商品Database(Key保障內容）'!$B8</f>
        <v>0</v>
      </c>
      <c r="Z8" s="1">
        <f>'商品Database(Key保障內容）'!Z8/'商品Database(Key保障內容）'!$B8</f>
        <v>0</v>
      </c>
      <c r="AA8" s="1">
        <f>'商品Database(Key保障內容）'!AA8/'商品Database(Key保障內容）'!$B8</f>
        <v>0</v>
      </c>
      <c r="AB8" s="1">
        <f>'商品Database(Key保障內容）'!AB8/'商品Database(Key保障內容）'!$B8</f>
        <v>1</v>
      </c>
      <c r="AC8" s="1">
        <f>'商品Database(Key保障內容）'!AC8/'商品Database(Key保障內容）'!$B8</f>
        <v>0</v>
      </c>
      <c r="AD8" s="1">
        <f>'商品Database(Key保障內容）'!AD8/'商品Database(Key保障內容）'!$B8</f>
        <v>0</v>
      </c>
      <c r="AE8" s="1">
        <f>'商品Database(Key保障內容）'!AE8/'商品Database(Key保障內容）'!$B8</f>
        <v>0</v>
      </c>
      <c r="AF8" s="1">
        <f>'商品Database(Key保障內容）'!AF8/'商品Database(Key保障內容）'!$B8</f>
        <v>0</v>
      </c>
      <c r="AG8" s="1">
        <f>'商品Database(Key保障內容）'!AG8/'商品Database(Key保障內容）'!$B8</f>
        <v>0</v>
      </c>
      <c r="AH8" s="1">
        <f>'商品Database(Key保障內容）'!AH8/'商品Database(Key保障內容）'!$B8</f>
        <v>0</v>
      </c>
      <c r="AI8" s="1">
        <f>'商品Database(Key保障內容）'!AI8/'商品Database(Key保障內容）'!$B8</f>
        <v>0</v>
      </c>
      <c r="AJ8" s="1">
        <f>'商品Database(Key保障內容）'!AJ8/'商品Database(Key保障內容）'!$B8</f>
        <v>0</v>
      </c>
      <c r="AK8" s="1">
        <f>'商品Database(Key保障內容）'!AK8/'商品Database(Key保障內容）'!$B8</f>
        <v>0</v>
      </c>
      <c r="AL8" s="1">
        <f>'商品Database(Key保障內容）'!AL8/'商品Database(Key保障內容）'!$B8</f>
        <v>0</v>
      </c>
      <c r="AM8" s="1">
        <f>'商品Database(Key保障內容）'!AM8/'商品Database(Key保障內容）'!$B8</f>
        <v>0</v>
      </c>
      <c r="AN8" s="1">
        <f>'商品Database(Key保障內容）'!AN8/'商品Database(Key保障內容）'!$B8</f>
        <v>0</v>
      </c>
    </row>
    <row r="9" spans="1:40">
      <c r="A9" s="16" t="str">
        <f>'商品Database(Key保障內容）'!A9</f>
        <v>LEGOUC</v>
      </c>
      <c r="B9" s="1">
        <v>100000</v>
      </c>
      <c r="C9" s="1">
        <f>'商品Database(Key保障內容）'!C9/'商品Database(Key保障內容）'!$B9</f>
        <v>0</v>
      </c>
      <c r="D9" s="1">
        <f>'商品Database(Key保障內容）'!D9/'商品Database(Key保障內容）'!$B9</f>
        <v>0</v>
      </c>
      <c r="E9" s="1">
        <f>'商品Database(Key保障內容）'!E9/'商品Database(Key保障內容）'!$B9</f>
        <v>0</v>
      </c>
      <c r="F9" s="1">
        <f>'商品Database(Key保障內容）'!F9/'商品Database(Key保障內容）'!$B9</f>
        <v>0</v>
      </c>
      <c r="G9" s="1">
        <f>'商品Database(Key保障內容）'!G9/'商品Database(Key保障內容）'!$B9</f>
        <v>0</v>
      </c>
      <c r="H9" s="1">
        <f>'商品Database(Key保障內容）'!H9/'商品Database(Key保障內容）'!$B9</f>
        <v>0</v>
      </c>
      <c r="I9" s="1">
        <f>'商品Database(Key保障內容）'!I9/'商品Database(Key保障內容）'!$B9</f>
        <v>0</v>
      </c>
      <c r="J9" s="1">
        <f>'商品Database(Key保障內容）'!J9/'商品Database(Key保障內容）'!$B9</f>
        <v>0</v>
      </c>
      <c r="K9" s="1">
        <f>'商品Database(Key保障內容）'!K9/'商品Database(Key保障內容）'!$B9</f>
        <v>0</v>
      </c>
      <c r="L9" s="1">
        <f>'商品Database(Key保障內容）'!L9/'商品Database(Key保障內容）'!$B9</f>
        <v>0</v>
      </c>
      <c r="M9" s="1">
        <f>'商品Database(Key保障內容）'!M9/'商品Database(Key保障內容）'!$B9</f>
        <v>0</v>
      </c>
      <c r="N9" s="1">
        <f>'商品Database(Key保障內容）'!N9/'商品Database(Key保障內容）'!$B9</f>
        <v>0</v>
      </c>
      <c r="O9" s="1">
        <f>'商品Database(Key保障內容）'!O9/'商品Database(Key保障內容）'!$B9</f>
        <v>0</v>
      </c>
      <c r="P9" s="1">
        <f>'商品Database(Key保障內容）'!P9/'商品Database(Key保障內容）'!$B9</f>
        <v>0</v>
      </c>
      <c r="Q9" s="1">
        <f>'商品Database(Key保障內容）'!Q9/'商品Database(Key保障內容）'!$B9</f>
        <v>0</v>
      </c>
      <c r="R9" s="1">
        <f>'商品Database(Key保障內容）'!R9/'商品Database(Key保障內容）'!$B9</f>
        <v>0</v>
      </c>
      <c r="S9" s="1">
        <f>'商品Database(Key保障內容）'!S9/'商品Database(Key保障內容）'!$B9</f>
        <v>0</v>
      </c>
      <c r="T9" s="1">
        <f>'商品Database(Key保障內容）'!T9/'商品Database(Key保障內容）'!$B9</f>
        <v>1</v>
      </c>
      <c r="U9" s="1">
        <f>'商品Database(Key保障內容）'!U9/'商品Database(Key保障內容）'!$B9</f>
        <v>0</v>
      </c>
      <c r="V9" s="1">
        <f>'商品Database(Key保障內容）'!V9/'商品Database(Key保障內容）'!$B9</f>
        <v>0</v>
      </c>
      <c r="W9" s="1">
        <f>'商品Database(Key保障內容）'!W9/'商品Database(Key保障內容）'!$B9</f>
        <v>0</v>
      </c>
      <c r="X9" s="1">
        <f>'商品Database(Key保障內容）'!X9/'商品Database(Key保障內容）'!$B9</f>
        <v>0</v>
      </c>
      <c r="Y9" s="1">
        <f>'商品Database(Key保障內容）'!Y9/'商品Database(Key保障內容）'!$B9</f>
        <v>0</v>
      </c>
      <c r="Z9" s="1">
        <f>'商品Database(Key保障內容）'!Z9/'商品Database(Key保障內容）'!$B9</f>
        <v>0</v>
      </c>
      <c r="AA9" s="1">
        <f>'商品Database(Key保障內容）'!AA9/'商品Database(Key保障內容）'!$B9</f>
        <v>0</v>
      </c>
      <c r="AB9" s="1">
        <f>'商品Database(Key保障內容）'!AB9/'商品Database(Key保障內容）'!$B9</f>
        <v>1</v>
      </c>
      <c r="AC9" s="1">
        <f>'商品Database(Key保障內容）'!AC9/'商品Database(Key保障內容）'!$B9</f>
        <v>0</v>
      </c>
      <c r="AD9" s="1">
        <f>'商品Database(Key保障內容）'!AD9/'商品Database(Key保障內容）'!$B9</f>
        <v>0</v>
      </c>
      <c r="AE9" s="1">
        <f>'商品Database(Key保障內容）'!AE9/'商品Database(Key保障內容）'!$B9</f>
        <v>0</v>
      </c>
      <c r="AF9" s="1">
        <f>'商品Database(Key保障內容）'!AF9/'商品Database(Key保障內容）'!$B9</f>
        <v>0</v>
      </c>
      <c r="AG9" s="1">
        <f>'商品Database(Key保障內容）'!AG9/'商品Database(Key保障內容）'!$B9</f>
        <v>0</v>
      </c>
      <c r="AH9" s="1">
        <f>'商品Database(Key保障內容）'!AH9/'商品Database(Key保障內容）'!$B9</f>
        <v>0</v>
      </c>
      <c r="AI9" s="1">
        <f>'商品Database(Key保障內容）'!AI9/'商品Database(Key保障內容）'!$B9</f>
        <v>0</v>
      </c>
      <c r="AJ9" s="1">
        <f>'商品Database(Key保障內容）'!AJ9/'商品Database(Key保障內容）'!$B9</f>
        <v>0</v>
      </c>
      <c r="AK9" s="1">
        <f>'商品Database(Key保障內容）'!AK9/'商品Database(Key保障內容）'!$B9</f>
        <v>0</v>
      </c>
      <c r="AL9" s="1">
        <f>'商品Database(Key保障內容）'!AL9/'商品Database(Key保障內容）'!$B9</f>
        <v>0</v>
      </c>
      <c r="AM9" s="1">
        <f>'商品Database(Key保障內容）'!AM9/'商品Database(Key保障內容）'!$B9</f>
        <v>0</v>
      </c>
      <c r="AN9" s="1">
        <f>'商品Database(Key保障內容）'!AN9/'商品Database(Key保障內容）'!$B9</f>
        <v>0</v>
      </c>
    </row>
    <row r="10" spans="1:40">
      <c r="A10" s="16" t="str">
        <f>'商品Database(Key保障內容）'!A10</f>
        <v>JOEBAA</v>
      </c>
      <c r="B10" s="1">
        <v>500000</v>
      </c>
      <c r="C10" s="1">
        <f>'商品Database(Key保障內容）'!C10/'商品Database(Key保障內容）'!$B10</f>
        <v>0</v>
      </c>
      <c r="D10" s="1">
        <f>'商品Database(Key保障內容）'!D10/'商品Database(Key保障內容）'!$B10</f>
        <v>0</v>
      </c>
      <c r="E10" s="1">
        <f>'商品Database(Key保障內容）'!E10/'商品Database(Key保障內容）'!$B10</f>
        <v>0</v>
      </c>
      <c r="F10" s="1">
        <f>'商品Database(Key保障內容）'!F10/'商品Database(Key保障內容）'!$B10</f>
        <v>0</v>
      </c>
      <c r="G10" s="1">
        <f>'商品Database(Key保障內容）'!G10/'商品Database(Key保障內容）'!$B10</f>
        <v>0</v>
      </c>
      <c r="H10" s="1">
        <f>'商品Database(Key保障內容）'!H10/'商品Database(Key保障內容）'!$B10</f>
        <v>0</v>
      </c>
      <c r="I10" s="1">
        <f>'商品Database(Key保障內容）'!I10/'商品Database(Key保障內容）'!$B10</f>
        <v>0</v>
      </c>
      <c r="J10" s="1">
        <f>'商品Database(Key保障內容）'!J10/'商品Database(Key保障內容）'!$B10</f>
        <v>0</v>
      </c>
      <c r="K10" s="1">
        <f>'商品Database(Key保障內容）'!K10/'商品Database(Key保障內容）'!$B10</f>
        <v>0</v>
      </c>
      <c r="L10" s="1">
        <f>'商品Database(Key保障內容）'!L10/'商品Database(Key保障內容）'!$B10</f>
        <v>0</v>
      </c>
      <c r="M10" s="1">
        <f>'商品Database(Key保障內容）'!M10/'商品Database(Key保障內容）'!$B10</f>
        <v>0</v>
      </c>
      <c r="N10" s="1">
        <f>'商品Database(Key保障內容）'!N10/'商品Database(Key保障內容）'!$B10</f>
        <v>0</v>
      </c>
      <c r="O10" s="1">
        <f>'商品Database(Key保障內容）'!O10/'商品Database(Key保障內容）'!$B10</f>
        <v>0</v>
      </c>
      <c r="P10" s="1">
        <f>'商品Database(Key保障內容）'!P10/'商品Database(Key保障內容）'!$B10</f>
        <v>0</v>
      </c>
      <c r="Q10" s="1">
        <f>'商品Database(Key保障內容）'!Q10/'商品Database(Key保障內容）'!$B10</f>
        <v>0</v>
      </c>
      <c r="R10" s="1">
        <f>'商品Database(Key保障內容）'!R10/'商品Database(Key保障內容）'!$B10</f>
        <v>0</v>
      </c>
      <c r="S10" s="1">
        <f>'商品Database(Key保障內容）'!S10/'商品Database(Key保障內容）'!$B10</f>
        <v>0</v>
      </c>
      <c r="T10" s="1">
        <f>'商品Database(Key保障內容）'!T10/'商品Database(Key保障內容）'!$B10</f>
        <v>1</v>
      </c>
      <c r="U10" s="1">
        <f>'商品Database(Key保障內容）'!U10/'商品Database(Key保障內容）'!$B10</f>
        <v>0</v>
      </c>
      <c r="V10" s="1">
        <f>'商品Database(Key保障內容）'!V10/'商品Database(Key保障內容）'!$B10</f>
        <v>0</v>
      </c>
      <c r="W10" s="1">
        <f>'商品Database(Key保障內容）'!W10/'商品Database(Key保障內容）'!$B10</f>
        <v>0</v>
      </c>
      <c r="X10" s="1">
        <f>'商品Database(Key保障內容）'!X10/'商品Database(Key保障內容）'!$B10</f>
        <v>0</v>
      </c>
      <c r="Y10" s="1">
        <f>'商品Database(Key保障內容）'!Y10/'商品Database(Key保障內容）'!$B10</f>
        <v>0</v>
      </c>
      <c r="Z10" s="1">
        <f>'商品Database(Key保障內容）'!Z10/'商品Database(Key保障內容）'!$B10</f>
        <v>0</v>
      </c>
      <c r="AA10" s="1">
        <f>'商品Database(Key保障內容）'!AA10/'商品Database(Key保障內容）'!$B10</f>
        <v>0</v>
      </c>
      <c r="AB10" s="1">
        <f>'商品Database(Key保障內容）'!AB10/'商品Database(Key保障內容）'!$B10</f>
        <v>0</v>
      </c>
      <c r="AC10" s="1">
        <f>'商品Database(Key保障內容）'!AC10/'商品Database(Key保障內容）'!$B10</f>
        <v>0</v>
      </c>
      <c r="AD10" s="1">
        <f>'商品Database(Key保障內容）'!AD10/'商品Database(Key保障內容）'!$B10</f>
        <v>0</v>
      </c>
      <c r="AE10" s="1">
        <f>'商品Database(Key保障內容）'!AE10/'商品Database(Key保障內容）'!$B10</f>
        <v>0</v>
      </c>
      <c r="AF10" s="1">
        <f>'商品Database(Key保障內容）'!AF10/'商品Database(Key保障內容）'!$B10</f>
        <v>0</v>
      </c>
      <c r="AG10" s="1">
        <f>'商品Database(Key保障內容）'!AG10/'商品Database(Key保障內容）'!$B10</f>
        <v>0</v>
      </c>
      <c r="AH10" s="1">
        <f>'商品Database(Key保障內容）'!AH10/'商品Database(Key保障內容）'!$B10</f>
        <v>0</v>
      </c>
      <c r="AI10" s="1">
        <f>'商品Database(Key保障內容）'!AI10/'商品Database(Key保障內容）'!$B10</f>
        <v>0</v>
      </c>
      <c r="AJ10" s="1">
        <f>'商品Database(Key保障內容）'!AJ10/'商品Database(Key保障內容）'!$B10</f>
        <v>0</v>
      </c>
      <c r="AK10" s="1">
        <f>'商品Database(Key保障內容）'!AK10/'商品Database(Key保障內容）'!$B10</f>
        <v>0</v>
      </c>
      <c r="AL10" s="1">
        <f>'商品Database(Key保障內容）'!AL10/'商品Database(Key保障內容）'!$B10</f>
        <v>0</v>
      </c>
      <c r="AM10" s="1">
        <f>'商品Database(Key保障內容）'!AM10/'商品Database(Key保障內容）'!$B10</f>
        <v>0</v>
      </c>
      <c r="AN10" s="1">
        <f>'商品Database(Key保障內容）'!AN10/'商品Database(Key保障內容）'!$B10</f>
        <v>0</v>
      </c>
    </row>
    <row r="11" spans="1:40">
      <c r="A11" s="16" t="str">
        <f>'商品Database(Key保障內容）'!A11</f>
        <v>JOEBDA</v>
      </c>
      <c r="B11" s="1">
        <v>500000</v>
      </c>
      <c r="C11" s="1">
        <f>'商品Database(Key保障內容）'!C11/'商品Database(Key保障內容）'!$B11</f>
        <v>0</v>
      </c>
      <c r="D11" s="1">
        <f>'商品Database(Key保障內容）'!D11/'商品Database(Key保障內容）'!$B11</f>
        <v>0</v>
      </c>
      <c r="E11" s="1">
        <f>'商品Database(Key保障內容）'!E11/'商品Database(Key保障內容）'!$B11</f>
        <v>0</v>
      </c>
      <c r="F11" s="1">
        <f>'商品Database(Key保障內容）'!F11/'商品Database(Key保障內容）'!$B11</f>
        <v>0</v>
      </c>
      <c r="G11" s="1">
        <f>'商品Database(Key保障內容）'!G11/'商品Database(Key保障內容）'!$B11</f>
        <v>0</v>
      </c>
      <c r="H11" s="1">
        <f>'商品Database(Key保障內容）'!H11/'商品Database(Key保障內容）'!$B11</f>
        <v>0</v>
      </c>
      <c r="I11" s="1">
        <f>'商品Database(Key保障內容）'!I11/'商品Database(Key保障內容）'!$B11</f>
        <v>0</v>
      </c>
      <c r="J11" s="1">
        <f>'商品Database(Key保障內容）'!J11/'商品Database(Key保障內容）'!$B11</f>
        <v>0</v>
      </c>
      <c r="K11" s="1">
        <f>'商品Database(Key保障內容）'!K11/'商品Database(Key保障內容）'!$B11</f>
        <v>0</v>
      </c>
      <c r="L11" s="1">
        <f>'商品Database(Key保障內容）'!L11/'商品Database(Key保障內容）'!$B11</f>
        <v>0</v>
      </c>
      <c r="M11" s="1">
        <f>'商品Database(Key保障內容）'!M11/'商品Database(Key保障內容）'!$B11</f>
        <v>0</v>
      </c>
      <c r="N11" s="1">
        <f>'商品Database(Key保障內容）'!N11/'商品Database(Key保障內容）'!$B11</f>
        <v>0</v>
      </c>
      <c r="O11" s="1">
        <f>'商品Database(Key保障內容）'!O11/'商品Database(Key保障內容）'!$B11</f>
        <v>0</v>
      </c>
      <c r="P11" s="1">
        <f>'商品Database(Key保障內容）'!P11/'商品Database(Key保障內容）'!$B11</f>
        <v>0</v>
      </c>
      <c r="Q11" s="1">
        <f>'商品Database(Key保障內容）'!Q11/'商品Database(Key保障內容）'!$B11</f>
        <v>0</v>
      </c>
      <c r="R11" s="1">
        <f>'商品Database(Key保障內容）'!R11/'商品Database(Key保障內容）'!$B11</f>
        <v>0</v>
      </c>
      <c r="S11" s="1">
        <f>'商品Database(Key保障內容）'!S11/'商品Database(Key保障內容）'!$B11</f>
        <v>0</v>
      </c>
      <c r="T11" s="1">
        <f>'商品Database(Key保障內容）'!T11/'商品Database(Key保障內容）'!$B11</f>
        <v>1</v>
      </c>
      <c r="U11" s="1">
        <f>'商品Database(Key保障內容）'!U11/'商品Database(Key保障內容）'!$B11</f>
        <v>0</v>
      </c>
      <c r="V11" s="1">
        <f>'商品Database(Key保障內容）'!V11/'商品Database(Key保障內容）'!$B11</f>
        <v>0</v>
      </c>
      <c r="W11" s="1">
        <f>'商品Database(Key保障內容）'!W11/'商品Database(Key保障內容）'!$B11</f>
        <v>0</v>
      </c>
      <c r="X11" s="1">
        <f>'商品Database(Key保障內容）'!X11/'商品Database(Key保障內容）'!$B11</f>
        <v>0</v>
      </c>
      <c r="Y11" s="1">
        <f>'商品Database(Key保障內容）'!Y11/'商品Database(Key保障內容）'!$B11</f>
        <v>0</v>
      </c>
      <c r="Z11" s="1">
        <f>'商品Database(Key保障內容）'!Z11/'商品Database(Key保障內容）'!$B11</f>
        <v>0</v>
      </c>
      <c r="AA11" s="1">
        <f>'商品Database(Key保障內容）'!AA11/'商品Database(Key保障內容）'!$B11</f>
        <v>0</v>
      </c>
      <c r="AB11" s="1">
        <f>'商品Database(Key保障內容）'!AB11/'商品Database(Key保障內容）'!$B11</f>
        <v>1</v>
      </c>
      <c r="AC11" s="1">
        <f>'商品Database(Key保障內容）'!AC11/'商品Database(Key保障內容）'!$B11</f>
        <v>0</v>
      </c>
      <c r="AD11" s="1">
        <f>'商品Database(Key保障內容）'!AD11/'商品Database(Key保障內容）'!$B11</f>
        <v>0</v>
      </c>
      <c r="AE11" s="1">
        <f>'商品Database(Key保障內容）'!AE11/'商品Database(Key保障內容）'!$B11</f>
        <v>0</v>
      </c>
      <c r="AF11" s="1">
        <f>'商品Database(Key保障內容）'!AF11/'商品Database(Key保障內容）'!$B11</f>
        <v>0</v>
      </c>
      <c r="AG11" s="1">
        <f>'商品Database(Key保障內容）'!AG11/'商品Database(Key保障內容）'!$B11</f>
        <v>0</v>
      </c>
      <c r="AH11" s="1">
        <f>'商品Database(Key保障內容）'!AH11/'商品Database(Key保障內容）'!$B11</f>
        <v>0</v>
      </c>
      <c r="AI11" s="1">
        <f>'商品Database(Key保障內容）'!AI11/'商品Database(Key保障內容）'!$B11</f>
        <v>0</v>
      </c>
      <c r="AJ11" s="1">
        <f>'商品Database(Key保障內容）'!AJ11/'商品Database(Key保障內容）'!$B11</f>
        <v>0</v>
      </c>
      <c r="AK11" s="1">
        <f>'商品Database(Key保障內容）'!AK11/'商品Database(Key保障內容）'!$B11</f>
        <v>0</v>
      </c>
      <c r="AL11" s="1">
        <f>'商品Database(Key保障內容）'!AL11/'商品Database(Key保障內容）'!$B11</f>
        <v>0</v>
      </c>
      <c r="AM11" s="1">
        <f>'商品Database(Key保障內容）'!AM11/'商品Database(Key保障內容）'!$B11</f>
        <v>0</v>
      </c>
      <c r="AN11" s="1">
        <f>'商品Database(Key保障內容）'!AN11/'商品Database(Key保障內容）'!$B11</f>
        <v>0</v>
      </c>
    </row>
    <row r="12" spans="1:40">
      <c r="A12" s="16" t="str">
        <f>'商品Database(Key保障內容）'!A12</f>
        <v>LEGOYC</v>
      </c>
      <c r="B12" s="1">
        <v>5000</v>
      </c>
      <c r="C12" s="1">
        <f>'商品Database(Key保障內容）'!C12/'商品Database(Key保障內容）'!$B12</f>
        <v>0</v>
      </c>
      <c r="D12" s="1">
        <f>'商品Database(Key保障內容）'!D12/'商品Database(Key保障內容）'!$B12</f>
        <v>0</v>
      </c>
      <c r="E12" s="1">
        <f>'商品Database(Key保障內容）'!E12/'商品Database(Key保障內容）'!$B12</f>
        <v>0</v>
      </c>
      <c r="F12" s="1">
        <f>'商品Database(Key保障內容）'!F12/'商品Database(Key保障內容）'!$B12</f>
        <v>0</v>
      </c>
      <c r="G12" s="1">
        <f>'商品Database(Key保障內容）'!G12/'商品Database(Key保障內容）'!$B12</f>
        <v>0</v>
      </c>
      <c r="H12" s="1">
        <f>'商品Database(Key保障內容）'!H12/'商品Database(Key保障內容）'!$B12</f>
        <v>0</v>
      </c>
      <c r="I12" s="1">
        <f>'商品Database(Key保障內容）'!I12/'商品Database(Key保障內容）'!$B12</f>
        <v>0</v>
      </c>
      <c r="J12" s="1">
        <f>'商品Database(Key保障內容）'!J12/'商品Database(Key保障內容）'!$B12</f>
        <v>0</v>
      </c>
      <c r="K12" s="1">
        <f>'商品Database(Key保障內容）'!K12/'商品Database(Key保障內容）'!$B12</f>
        <v>0</v>
      </c>
      <c r="L12" s="1">
        <f>'商品Database(Key保障內容）'!L12/'商品Database(Key保障內容）'!$B12</f>
        <v>0</v>
      </c>
      <c r="M12" s="1">
        <f>'商品Database(Key保障內容）'!M12/'商品Database(Key保障內容）'!$B12</f>
        <v>0</v>
      </c>
      <c r="N12" s="1">
        <f>'商品Database(Key保障內容）'!N12/'商品Database(Key保障內容）'!$B12</f>
        <v>0</v>
      </c>
      <c r="O12" s="1">
        <f>'商品Database(Key保障內容）'!O12/'商品Database(Key保障內容）'!$B12</f>
        <v>0</v>
      </c>
      <c r="P12" s="1">
        <f>'商品Database(Key保障內容）'!P12/'商品Database(Key保障內容）'!$B12</f>
        <v>0</v>
      </c>
      <c r="Q12" s="1">
        <f>'商品Database(Key保障內容）'!Q12/'商品Database(Key保障內容）'!$B12</f>
        <v>0</v>
      </c>
      <c r="R12" s="1">
        <f>'商品Database(Key保障內容）'!R12/'商品Database(Key保障內容）'!$B12</f>
        <v>0</v>
      </c>
      <c r="S12" s="1">
        <f>'商品Database(Key保障內容）'!S12/'商品Database(Key保障內容）'!$B12</f>
        <v>0</v>
      </c>
      <c r="T12" s="1">
        <f>'商品Database(Key保障內容）'!T12/'商品Database(Key保障內容）'!$B12</f>
        <v>0</v>
      </c>
      <c r="U12" s="1">
        <f>'商品Database(Key保障內容）'!U12/'商品Database(Key保障內容）'!$B12</f>
        <v>0</v>
      </c>
      <c r="V12" s="1">
        <f>'商品Database(Key保障內容）'!V12/'商品Database(Key保障內容）'!$B12</f>
        <v>0</v>
      </c>
      <c r="W12" s="1">
        <f>'商品Database(Key保障內容）'!W12/'商品Database(Key保障內容）'!$B12</f>
        <v>0</v>
      </c>
      <c r="X12" s="1">
        <f>'商品Database(Key保障內容）'!X12/'商品Database(Key保障內容）'!$B12</f>
        <v>0</v>
      </c>
      <c r="Y12" s="1">
        <f>'商品Database(Key保障內容）'!Y12/'商品Database(Key保障內容）'!$B12</f>
        <v>0</v>
      </c>
      <c r="Z12" s="1">
        <f>'商品Database(Key保障內容）'!Z12/'商品Database(Key保障內容）'!$B12</f>
        <v>0</v>
      </c>
      <c r="AA12" s="1">
        <f>'商品Database(Key保障內容）'!AA12/'商品Database(Key保障內容）'!$B12</f>
        <v>0</v>
      </c>
      <c r="AB12" s="1">
        <f>'商品Database(Key保障內容）'!AB12/'商品Database(Key保障內容）'!$B12</f>
        <v>0</v>
      </c>
      <c r="AC12" s="1">
        <f>'商品Database(Key保障內容）'!AC12/'商品Database(Key保障內容）'!$B12</f>
        <v>10</v>
      </c>
      <c r="AD12" s="1">
        <f>'商品Database(Key保障內容）'!AD12/'商品Database(Key保障內容）'!$B12</f>
        <v>0</v>
      </c>
      <c r="AE12" s="1">
        <f>'商品Database(Key保障內容）'!AE12/'商品Database(Key保障內容）'!$B12</f>
        <v>0</v>
      </c>
      <c r="AF12" s="1">
        <f>'商品Database(Key保障內容）'!AF12/'商品Database(Key保障內容）'!$B12</f>
        <v>0</v>
      </c>
      <c r="AG12" s="1">
        <f>'商品Database(Key保障內容）'!AG12/'商品Database(Key保障內容）'!$B12</f>
        <v>1.2</v>
      </c>
      <c r="AH12" s="1">
        <f>'商品Database(Key保障內容）'!AH12/'商品Database(Key保障內容）'!$B12</f>
        <v>1.2</v>
      </c>
      <c r="AI12" s="1">
        <f>'商品Database(Key保障內容）'!AI12/'商品Database(Key保障內容）'!$B12</f>
        <v>0</v>
      </c>
      <c r="AJ12" s="1">
        <f>'商品Database(Key保障內容）'!AJ12/'商品Database(Key保障內容）'!$B12</f>
        <v>0</v>
      </c>
      <c r="AK12" s="1">
        <f>'商品Database(Key保障內容）'!AK12/'商品Database(Key保障內容）'!$B12</f>
        <v>0</v>
      </c>
      <c r="AL12" s="1">
        <f>'商品Database(Key保障內容）'!AL12/'商品Database(Key保障內容）'!$B12</f>
        <v>0</v>
      </c>
      <c r="AM12" s="1">
        <f>'商品Database(Key保障內容）'!AM12/'商品Database(Key保障內容）'!$B12</f>
        <v>0</v>
      </c>
      <c r="AN12" s="1">
        <f>'商品Database(Key保障內容）'!AN12/'商品Database(Key保障內容）'!$B12</f>
        <v>0</v>
      </c>
    </row>
    <row r="13" spans="1:40">
      <c r="A13" s="16" t="str">
        <f>'商品Database(Key保障內容）'!A13</f>
        <v>FCTR</v>
      </c>
      <c r="B13" s="1">
        <v>1</v>
      </c>
      <c r="C13" s="1">
        <f>'商品Database(Key保障內容）'!C13/'商品Database(Key保障內容）'!$B13</f>
        <v>0</v>
      </c>
      <c r="D13" s="1">
        <f>'商品Database(Key保障內容）'!D13/'商品Database(Key保障內容）'!$B13</f>
        <v>0</v>
      </c>
      <c r="E13" s="1">
        <f>'商品Database(Key保障內容）'!E13/'商品Database(Key保障內容）'!$B13</f>
        <v>0</v>
      </c>
      <c r="F13" s="1">
        <f>'商品Database(Key保障內容）'!F13/'商品Database(Key保障內容）'!$B13</f>
        <v>0</v>
      </c>
      <c r="G13" s="1">
        <f>'商品Database(Key保障內容）'!G13/'商品Database(Key保障內容）'!$B13</f>
        <v>0</v>
      </c>
      <c r="H13" s="1">
        <f>'商品Database(Key保障內容）'!H13/'商品Database(Key保障內容）'!$B13</f>
        <v>0</v>
      </c>
      <c r="I13" s="1">
        <f>'商品Database(Key保障內容）'!I13/'商品Database(Key保障內容）'!$B13</f>
        <v>0</v>
      </c>
      <c r="J13" s="1">
        <f>'商品Database(Key保障內容）'!J13/'商品Database(Key保障內容）'!$B13</f>
        <v>0</v>
      </c>
      <c r="K13" s="1">
        <f>'商品Database(Key保障內容）'!K13/'商品Database(Key保障內容）'!$B13</f>
        <v>0</v>
      </c>
      <c r="L13" s="1">
        <f>'商品Database(Key保障內容）'!L13/'商品Database(Key保障內容）'!$B13</f>
        <v>0</v>
      </c>
      <c r="M13" s="1">
        <f>'商品Database(Key保障內容）'!M13/'商品Database(Key保障內容）'!$B13</f>
        <v>0</v>
      </c>
      <c r="N13" s="1">
        <f>'商品Database(Key保障內容）'!N13/'商品Database(Key保障內容）'!$B13</f>
        <v>0</v>
      </c>
      <c r="O13" s="1">
        <f>'商品Database(Key保障內容）'!O13/'商品Database(Key保障內容）'!$B13</f>
        <v>0</v>
      </c>
      <c r="P13" s="1">
        <f>'商品Database(Key保障內容）'!P13/'商品Database(Key保障內容）'!$B13</f>
        <v>0</v>
      </c>
      <c r="Q13" s="1">
        <f>'商品Database(Key保障內容）'!Q13/'商品Database(Key保障內容）'!$B13</f>
        <v>0</v>
      </c>
      <c r="R13" s="1">
        <f>'商品Database(Key保障內容）'!R13/'商品Database(Key保障內容）'!$B13</f>
        <v>0</v>
      </c>
      <c r="S13" s="1">
        <f>'商品Database(Key保障內容）'!S13/'商品Database(Key保障內容）'!$B13</f>
        <v>0</v>
      </c>
      <c r="T13" s="1">
        <f>'商品Database(Key保障內容）'!T13/'商品Database(Key保障內容）'!$B13</f>
        <v>0</v>
      </c>
      <c r="U13" s="1">
        <f>'商品Database(Key保障內容）'!U13/'商品Database(Key保障內容）'!$B13</f>
        <v>0</v>
      </c>
      <c r="V13" s="1">
        <f>'商品Database(Key保障內容）'!V13/'商品Database(Key保障內容）'!$B13</f>
        <v>750</v>
      </c>
      <c r="W13" s="1">
        <f>'商品Database(Key保障內容）'!W13/'商品Database(Key保障內容）'!$B13</f>
        <v>750</v>
      </c>
      <c r="X13" s="1">
        <f>'商品Database(Key保障內容）'!X13/'商品Database(Key保障內容）'!$B13</f>
        <v>7500</v>
      </c>
      <c r="Y13" s="1">
        <f>'商品Database(Key保障內容）'!Y13/'商品Database(Key保障內容）'!$B13</f>
        <v>250</v>
      </c>
      <c r="Z13" s="1">
        <f>'商品Database(Key保障內容）'!Z13/'商品Database(Key保障內容）'!$B13</f>
        <v>750</v>
      </c>
      <c r="AA13" s="1">
        <f>'商品Database(Key保障內容）'!AA13/'商品Database(Key保障內容）'!$B13</f>
        <v>25000</v>
      </c>
      <c r="AB13" s="1">
        <f>'商品Database(Key保障內容）'!AB13/'商品Database(Key保障內容）'!$B13</f>
        <v>0</v>
      </c>
      <c r="AC13" s="1">
        <f>'商品Database(Key保障內容）'!AC13/'商品Database(Key保障內容）'!$B13</f>
        <v>0</v>
      </c>
      <c r="AD13" s="1">
        <f>'商品Database(Key保障內容）'!AD13/'商品Database(Key保障內容）'!$B13</f>
        <v>0</v>
      </c>
      <c r="AE13" s="1">
        <f>'商品Database(Key保障內容）'!AE13/'商品Database(Key保障內容）'!$B13</f>
        <v>0</v>
      </c>
      <c r="AF13" s="1">
        <f>'商品Database(Key保障內容）'!AF13/'商品Database(Key保障內容）'!$B13</f>
        <v>0</v>
      </c>
      <c r="AG13" s="1">
        <f>'商品Database(Key保障內容）'!AG13/'商品Database(Key保障內容）'!$B13</f>
        <v>0</v>
      </c>
      <c r="AH13" s="1">
        <f>'商品Database(Key保障內容）'!AH13/'商品Database(Key保障內容）'!$B13</f>
        <v>0</v>
      </c>
      <c r="AI13" s="1">
        <f>'商品Database(Key保障內容）'!AI13/'商品Database(Key保障內容）'!$B13</f>
        <v>0</v>
      </c>
      <c r="AJ13" s="1">
        <f>'商品Database(Key保障內容）'!AJ13/'商品Database(Key保障內容）'!$B13</f>
        <v>0</v>
      </c>
      <c r="AK13" s="1">
        <f>'商品Database(Key保障內容）'!AK13/'商品Database(Key保障內容）'!$B13</f>
        <v>0</v>
      </c>
      <c r="AL13" s="1">
        <f>'商品Database(Key保障內容）'!AL13/'商品Database(Key保障內容）'!$B13</f>
        <v>0</v>
      </c>
      <c r="AM13" s="1">
        <f>'商品Database(Key保障內容）'!AM13/'商品Database(Key保障內容）'!$B13</f>
        <v>0</v>
      </c>
      <c r="AN13" s="1">
        <f>'商品Database(Key保障內容）'!AN13/'商品Database(Key保障內容）'!$B13</f>
        <v>0</v>
      </c>
    </row>
    <row r="14" spans="1:40">
      <c r="A14" s="16" t="str">
        <f>'商品Database(Key保障內容）'!A14</f>
        <v>KDDR</v>
      </c>
      <c r="B14" s="1">
        <v>10</v>
      </c>
      <c r="C14" s="1">
        <f>'商品Database(Key保障內容）'!C14/'商品Database(Key保障內容）'!$B14</f>
        <v>0</v>
      </c>
      <c r="D14" s="1">
        <f>'商品Database(Key保障內容）'!D14/'商品Database(Key保障內容）'!$B14</f>
        <v>0</v>
      </c>
      <c r="E14" s="1">
        <f>'商品Database(Key保障內容）'!E14/'商品Database(Key保障內容）'!$B14</f>
        <v>0</v>
      </c>
      <c r="F14" s="1">
        <f>'商品Database(Key保障內容）'!F14/'商品Database(Key保障內容）'!$B14</f>
        <v>0</v>
      </c>
      <c r="G14" s="1">
        <f>'商品Database(Key保障內容）'!G14/'商品Database(Key保障內容）'!$B14</f>
        <v>0</v>
      </c>
      <c r="H14" s="1">
        <f>'商品Database(Key保障內容）'!H14/'商品Database(Key保障內容）'!$B14</f>
        <v>0</v>
      </c>
      <c r="I14" s="1">
        <f>'商品Database(Key保障內容）'!I14/'商品Database(Key保障內容）'!$B14</f>
        <v>0</v>
      </c>
      <c r="J14" s="1">
        <f>'商品Database(Key保障內容）'!J14/'商品Database(Key保障內容）'!$B14</f>
        <v>0</v>
      </c>
      <c r="K14" s="1">
        <f>'商品Database(Key保障內容）'!K14/'商品Database(Key保障內容）'!$B14</f>
        <v>0</v>
      </c>
      <c r="L14" s="1">
        <f>'商品Database(Key保障內容）'!L14/'商品Database(Key保障內容）'!$B14</f>
        <v>0</v>
      </c>
      <c r="M14" s="1">
        <f>'商品Database(Key保障內容）'!M14/'商品Database(Key保障內容）'!$B14</f>
        <v>0</v>
      </c>
      <c r="N14" s="1">
        <f>'商品Database(Key保障內容）'!N14/'商品Database(Key保障內容）'!$B14</f>
        <v>0</v>
      </c>
      <c r="O14" s="1">
        <f>'商品Database(Key保障內容）'!O14/'商品Database(Key保障內容）'!$B14</f>
        <v>0</v>
      </c>
      <c r="P14" s="1">
        <f>'商品Database(Key保障內容）'!P14/'商品Database(Key保障內容）'!$B14</f>
        <v>0</v>
      </c>
      <c r="Q14" s="1">
        <f>'商品Database(Key保障內容）'!Q14/'商品Database(Key保障內容）'!$B14</f>
        <v>0</v>
      </c>
      <c r="R14" s="1">
        <f>'商品Database(Key保障內容）'!R14/'商品Database(Key保障內容）'!$B14</f>
        <v>0</v>
      </c>
      <c r="S14" s="1">
        <f>'商品Database(Key保障內容）'!S14/'商品Database(Key保障內容）'!$B14</f>
        <v>0</v>
      </c>
      <c r="T14" s="1">
        <f>'商品Database(Key保障內容）'!T14/'商品Database(Key保障內容）'!$B14</f>
        <v>0</v>
      </c>
      <c r="U14" s="1">
        <f>'商品Database(Key保障內容）'!U14/'商品Database(Key保障內容）'!$B14</f>
        <v>0</v>
      </c>
      <c r="V14" s="1">
        <f>'商品Database(Key保障內容）'!V14/'商品Database(Key保障內容）'!$B14</f>
        <v>0</v>
      </c>
      <c r="W14" s="1">
        <f>'商品Database(Key保障內容）'!W14/'商品Database(Key保障內容）'!$B14</f>
        <v>0</v>
      </c>
      <c r="X14" s="1">
        <f>'商品Database(Key保障內容）'!X14/'商品Database(Key保障內容）'!$B14</f>
        <v>0</v>
      </c>
      <c r="Y14" s="1">
        <f>'商品Database(Key保障內容）'!Y14/'商品Database(Key保障內容）'!$B14</f>
        <v>0</v>
      </c>
      <c r="Z14" s="1">
        <f>'商品Database(Key保障內容）'!Z14/'商品Database(Key保障內容）'!$B14</f>
        <v>0</v>
      </c>
      <c r="AA14" s="1">
        <f>'商品Database(Key保障內容）'!AA14/'商品Database(Key保障內容）'!$B14</f>
        <v>0</v>
      </c>
      <c r="AB14" s="1">
        <f>'商品Database(Key保障內容）'!AB14/'商品Database(Key保障內容）'!$B14</f>
        <v>5</v>
      </c>
      <c r="AC14" s="1">
        <f>'商品Database(Key保障內容）'!AC14/'商品Database(Key保障內容）'!$B14</f>
        <v>0</v>
      </c>
      <c r="AD14" s="1">
        <f>'商品Database(Key保障內容）'!AD14/'商品Database(Key保障內容）'!$B14</f>
        <v>0</v>
      </c>
      <c r="AE14" s="1">
        <f>'商品Database(Key保障內容）'!AE14/'商品Database(Key保障內容）'!$B14</f>
        <v>0</v>
      </c>
      <c r="AF14" s="1">
        <f>'商品Database(Key保障內容）'!AF14/'商品Database(Key保障內容）'!$B14</f>
        <v>0</v>
      </c>
      <c r="AG14" s="1">
        <f>'商品Database(Key保障內容）'!AG14/'商品Database(Key保障內容）'!$B14</f>
        <v>0</v>
      </c>
      <c r="AH14" s="1">
        <f>'商品Database(Key保障內容）'!AH14/'商品Database(Key保障內容）'!$B14</f>
        <v>0</v>
      </c>
      <c r="AI14" s="1">
        <f>'商品Database(Key保障內容）'!AI14/'商品Database(Key保障內容）'!$B14</f>
        <v>0</v>
      </c>
      <c r="AJ14" s="1">
        <f>'商品Database(Key保障內容）'!AJ14/'商品Database(Key保障內容）'!$B14</f>
        <v>0</v>
      </c>
      <c r="AK14" s="1">
        <f>'商品Database(Key保障內容）'!AK14/'商品Database(Key保障內容）'!$B14</f>
        <v>0</v>
      </c>
      <c r="AL14" s="1">
        <f>'商品Database(Key保障內容）'!AL14/'商品Database(Key保障內容）'!$B14</f>
        <v>0</v>
      </c>
      <c r="AM14" s="1">
        <f>'商品Database(Key保障內容）'!AM14/'商品Database(Key保障內容）'!$B14</f>
        <v>0</v>
      </c>
      <c r="AN14" s="1">
        <f>'商品Database(Key保障內容）'!AN14/'商品Database(Key保障內容）'!$B14</f>
        <v>0</v>
      </c>
    </row>
    <row r="15" spans="1:40">
      <c r="A15" s="16" t="str">
        <f>'商品Database(Key保障內容）'!A15</f>
        <v>LEGOIC</v>
      </c>
      <c r="B15" s="1">
        <v>500000</v>
      </c>
      <c r="C15" s="1">
        <f>'商品Database(Key保障內容）'!C15/'商品Database(Key保障內容）'!$B15</f>
        <v>0</v>
      </c>
      <c r="D15" s="1">
        <f>'商品Database(Key保障內容）'!D15/'商品Database(Key保障內容）'!$B15</f>
        <v>0</v>
      </c>
      <c r="E15" s="1">
        <f>'商品Database(Key保障內容）'!E15/'商品Database(Key保障內容）'!$B15</f>
        <v>0</v>
      </c>
      <c r="F15" s="1">
        <f>'商品Database(Key保障內容）'!F15/'商品Database(Key保障內容）'!$B15</f>
        <v>0</v>
      </c>
      <c r="G15" s="1">
        <f>'商品Database(Key保障內容）'!G15/'商品Database(Key保障內容）'!$B15</f>
        <v>0</v>
      </c>
      <c r="H15" s="1">
        <f>'商品Database(Key保障內容）'!H15/'商品Database(Key保障內容）'!$B15</f>
        <v>0</v>
      </c>
      <c r="I15" s="1">
        <f>'商品Database(Key保障內容）'!I15/'商品Database(Key保障內容）'!$B15</f>
        <v>0</v>
      </c>
      <c r="J15" s="1">
        <f>'商品Database(Key保障內容）'!J15/'商品Database(Key保障內容）'!$B15</f>
        <v>0</v>
      </c>
      <c r="K15" s="1">
        <f>'商品Database(Key保障內容）'!K15/'商品Database(Key保障內容）'!$B15</f>
        <v>0</v>
      </c>
      <c r="L15" s="1">
        <f>'商品Database(Key保障內容）'!L15/'商品Database(Key保障內容）'!$B15</f>
        <v>0</v>
      </c>
      <c r="M15" s="1">
        <f>'商品Database(Key保障內容）'!M15/'商品Database(Key保障內容）'!$B15</f>
        <v>0</v>
      </c>
      <c r="N15" s="1">
        <f>'商品Database(Key保障內容）'!N15/'商品Database(Key保障內容）'!$B15</f>
        <v>0</v>
      </c>
      <c r="O15" s="1">
        <f>'商品Database(Key保障內容）'!O15/'商品Database(Key保障內容）'!$B15</f>
        <v>0</v>
      </c>
      <c r="P15" s="1">
        <f>'商品Database(Key保障內容）'!P15/'商品Database(Key保障內容）'!$B15</f>
        <v>0</v>
      </c>
      <c r="Q15" s="1">
        <f>'商品Database(Key保障內容）'!Q15/'商品Database(Key保障內容）'!$B15</f>
        <v>0</v>
      </c>
      <c r="R15" s="1">
        <f>'商品Database(Key保障內容）'!R15/'商品Database(Key保障內容）'!$B15</f>
        <v>0</v>
      </c>
      <c r="S15" s="1">
        <f>'商品Database(Key保障內容）'!S15/'商品Database(Key保障內容）'!$B15</f>
        <v>0</v>
      </c>
      <c r="T15" s="1">
        <f>'商品Database(Key保障內容）'!T15/'商品Database(Key保障內容）'!$B15</f>
        <v>0</v>
      </c>
      <c r="U15" s="1">
        <f>'商品Database(Key保障內容）'!U15/'商品Database(Key保障內容）'!$B15</f>
        <v>0</v>
      </c>
      <c r="V15" s="1">
        <f>'商品Database(Key保障內容）'!V15/'商品Database(Key保障內容）'!$B15</f>
        <v>0</v>
      </c>
      <c r="W15" s="1">
        <f>'商品Database(Key保障內容）'!W15/'商品Database(Key保障內容）'!$B15</f>
        <v>0</v>
      </c>
      <c r="X15" s="1">
        <f>'商品Database(Key保障內容）'!X15/'商品Database(Key保障內容）'!$B15</f>
        <v>0</v>
      </c>
      <c r="Y15" s="1">
        <f>'商品Database(Key保障內容）'!Y15/'商品Database(Key保障內容）'!$B15</f>
        <v>0</v>
      </c>
      <c r="Z15" s="1">
        <f>'商品Database(Key保障內容）'!Z15/'商品Database(Key保障內容）'!$B15</f>
        <v>0</v>
      </c>
      <c r="AA15" s="1">
        <f>'商品Database(Key保障內容）'!AA15/'商品Database(Key保障內容）'!$B15</f>
        <v>0</v>
      </c>
      <c r="AB15" s="1">
        <f>'商品Database(Key保障內容）'!AB15/'商品Database(Key保障內容）'!$B15</f>
        <v>0</v>
      </c>
      <c r="AC15" s="1">
        <f>'商品Database(Key保障內容）'!AC15/'商品Database(Key保障內容）'!$B15</f>
        <v>0.25</v>
      </c>
      <c r="AD15" s="1">
        <f>'商品Database(Key保障內容）'!AD15/'商品Database(Key保障內容）'!$B15</f>
        <v>0</v>
      </c>
      <c r="AE15" s="1">
        <f>'商品Database(Key保障內容）'!AE15/'商品Database(Key保障內容）'!$B15</f>
        <v>0</v>
      </c>
      <c r="AF15" s="1">
        <f>'商品Database(Key保障內容）'!AF15/'商品Database(Key保障內容）'!$B15</f>
        <v>0</v>
      </c>
      <c r="AG15" s="1">
        <f>'商品Database(Key保障內容）'!AG15/'商品Database(Key保障內容）'!$B15</f>
        <v>2.0833999999999998E-2</v>
      </c>
      <c r="AH15" s="1">
        <f>'商品Database(Key保障內容）'!AH15/'商品Database(Key保障內容）'!$B15</f>
        <v>2.0833999999999998E-2</v>
      </c>
      <c r="AI15" s="1">
        <f>'商品Database(Key保障內容）'!AI15/'商品Database(Key保障內容）'!$B15</f>
        <v>0</v>
      </c>
      <c r="AJ15" s="1">
        <f>'商品Database(Key保障內容）'!AJ15/'商品Database(Key保障內容）'!$B15</f>
        <v>0</v>
      </c>
      <c r="AK15" s="1">
        <f>'商品Database(Key保障內容）'!AK15/'商品Database(Key保障內容）'!$B15</f>
        <v>0</v>
      </c>
      <c r="AL15" s="1">
        <f>'商品Database(Key保障內容）'!AL15/'商品Database(Key保障內容）'!$B15</f>
        <v>0</v>
      </c>
      <c r="AM15" s="1">
        <f>'商品Database(Key保障內容）'!AM15/'商品Database(Key保障內容）'!$B15</f>
        <v>0</v>
      </c>
      <c r="AN15" s="1">
        <f>'商品Database(Key保障內容）'!AN15/'商品Database(Key保障內容）'!$B15</f>
        <v>0</v>
      </c>
    </row>
    <row r="16" spans="1:40">
      <c r="A16" s="16" t="str">
        <f>'商品Database(Key保障內容）'!A16</f>
        <v>DPAA</v>
      </c>
      <c r="B16" s="1">
        <v>1000000</v>
      </c>
      <c r="C16" s="1">
        <f>'商品Database(Key保障內容）'!C16/'商品Database(Key保障內容）'!$B16</f>
        <v>0</v>
      </c>
      <c r="D16" s="1">
        <f>'商品Database(Key保障內容）'!D16/'商品Database(Key保障內容）'!$B16</f>
        <v>0</v>
      </c>
      <c r="E16" s="1">
        <f>'商品Database(Key保障內容）'!E16/'商品Database(Key保障內容）'!$B16</f>
        <v>0</v>
      </c>
      <c r="F16" s="1">
        <f>'商品Database(Key保障內容）'!F16/'商品Database(Key保障內容）'!$B16</f>
        <v>0</v>
      </c>
      <c r="G16" s="1">
        <f>'商品Database(Key保障內容）'!G16/'商品Database(Key保障內容）'!$B16</f>
        <v>0</v>
      </c>
      <c r="H16" s="1">
        <f>'商品Database(Key保障內容）'!H16/'商品Database(Key保障內容）'!$B16</f>
        <v>0</v>
      </c>
      <c r="I16" s="1">
        <f>'商品Database(Key保障內容）'!I16/'商品Database(Key保障內容）'!$B16</f>
        <v>0</v>
      </c>
      <c r="J16" s="1">
        <f>'商品Database(Key保障內容）'!J16/'商品Database(Key保障內容）'!$B16</f>
        <v>0</v>
      </c>
      <c r="K16" s="1">
        <f>'商品Database(Key保障內容）'!K16/'商品Database(Key保障內容）'!$B16</f>
        <v>0</v>
      </c>
      <c r="L16" s="1">
        <f>'商品Database(Key保障內容）'!L16/'商品Database(Key保障內容）'!$B16</f>
        <v>0</v>
      </c>
      <c r="M16" s="1">
        <f>'商品Database(Key保障內容）'!M16/'商品Database(Key保障內容）'!$B16</f>
        <v>0</v>
      </c>
      <c r="N16" s="1">
        <f>'商品Database(Key保障內容）'!N16/'商品Database(Key保障內容）'!$B16</f>
        <v>0</v>
      </c>
      <c r="O16" s="1">
        <f>'商品Database(Key保障內容）'!O16/'商品Database(Key保障內容）'!$B16</f>
        <v>0</v>
      </c>
      <c r="P16" s="1">
        <f>'商品Database(Key保障內容）'!P16/'商品Database(Key保障內容）'!$B16</f>
        <v>0</v>
      </c>
      <c r="Q16" s="1">
        <f>'商品Database(Key保障內容）'!Q16/'商品Database(Key保障內容）'!$B16</f>
        <v>0</v>
      </c>
      <c r="R16" s="1">
        <f>'商品Database(Key保障內容）'!R16/'商品Database(Key保障內容）'!$B16</f>
        <v>0</v>
      </c>
      <c r="S16" s="1">
        <f>'商品Database(Key保障內容）'!S16/'商品Database(Key保障內容）'!$B16</f>
        <v>1</v>
      </c>
      <c r="T16" s="1">
        <f>'商品Database(Key保障內容）'!T16/'商品Database(Key保障內容）'!$B16</f>
        <v>0</v>
      </c>
      <c r="U16" s="1">
        <f>'商品Database(Key保障內容）'!U16/'商品Database(Key保障內容）'!$B16</f>
        <v>0</v>
      </c>
      <c r="V16" s="1">
        <f>'商品Database(Key保障內容）'!V16/'商品Database(Key保障內容）'!$B16</f>
        <v>0</v>
      </c>
      <c r="W16" s="1">
        <f>'商品Database(Key保障內容）'!W16/'商品Database(Key保障內容）'!$B16</f>
        <v>0</v>
      </c>
      <c r="X16" s="1">
        <f>'商品Database(Key保障內容）'!X16/'商品Database(Key保障內容）'!$B16</f>
        <v>0</v>
      </c>
      <c r="Y16" s="1">
        <f>'商品Database(Key保障內容）'!Y16/'商品Database(Key保障內容）'!$B16</f>
        <v>0</v>
      </c>
      <c r="Z16" s="1">
        <f>'商品Database(Key保障內容）'!Z16/'商品Database(Key保障內容）'!$B16</f>
        <v>0</v>
      </c>
      <c r="AA16" s="1">
        <f>'商品Database(Key保障內容）'!AA16/'商品Database(Key保障內容）'!$B16</f>
        <v>0</v>
      </c>
      <c r="AB16" s="1">
        <f>'商品Database(Key保障內容）'!AB16/'商品Database(Key保障內容）'!$B16</f>
        <v>0</v>
      </c>
      <c r="AC16" s="1">
        <f>'商品Database(Key保障內容）'!AC16/'商品Database(Key保障內容）'!$B16</f>
        <v>0</v>
      </c>
      <c r="AD16" s="1">
        <v>1</v>
      </c>
      <c r="AE16" s="1">
        <f>'商品Database(Key保障內容）'!AE16/'商品Database(Key保障內容）'!$B16</f>
        <v>0</v>
      </c>
      <c r="AF16" s="1">
        <f>'商品Database(Key保障內容）'!AF16/'商品Database(Key保障內容）'!$B16</f>
        <v>0</v>
      </c>
      <c r="AG16" s="1">
        <f>'商品Database(Key保障內容）'!AG16/'商品Database(Key保障內容）'!$B16</f>
        <v>0</v>
      </c>
      <c r="AH16" s="1">
        <f>'商品Database(Key保障內容）'!AH16/'商品Database(Key保障內容）'!$B16</f>
        <v>0</v>
      </c>
      <c r="AI16" s="1">
        <f>'商品Database(Key保障內容）'!AI16/'商品Database(Key保障內容）'!$B16</f>
        <v>0</v>
      </c>
      <c r="AJ16" s="1">
        <f>'商品Database(Key保障內容）'!AJ16/'商品Database(Key保障內容）'!$B16</f>
        <v>0</v>
      </c>
      <c r="AK16" s="1">
        <f>'商品Database(Key保障內容）'!AK16/'商品Database(Key保障內容）'!$B16</f>
        <v>0</v>
      </c>
      <c r="AL16" s="1">
        <f>'商品Database(Key保障內容）'!AL16/'商品Database(Key保障內容）'!$B16</f>
        <v>0</v>
      </c>
      <c r="AM16" s="1">
        <f>'商品Database(Key保障內容）'!AM16/'商品Database(Key保障內容）'!$B16</f>
        <v>0</v>
      </c>
      <c r="AN16" s="1">
        <f>'商品Database(Key保障內容）'!AN16/'商品Database(Key保障內容）'!$B16</f>
        <v>0</v>
      </c>
    </row>
    <row r="17" spans="1:40">
      <c r="A17" s="16" t="str">
        <f>'商品Database(Key保障內容）'!A17</f>
        <v>MT</v>
      </c>
      <c r="B17" s="1">
        <v>100000</v>
      </c>
      <c r="C17" s="1">
        <f>'商品Database(Key保障內容）'!C17/'商品Database(Key保障內容）'!$B17</f>
        <v>0</v>
      </c>
      <c r="D17" s="1">
        <f>'商品Database(Key保障內容）'!D17/'商品Database(Key保障內容）'!$B17</f>
        <v>0</v>
      </c>
      <c r="E17" s="1">
        <f>'商品Database(Key保障內容）'!E17/'商品Database(Key保障內容）'!$B17</f>
        <v>0</v>
      </c>
      <c r="F17" s="1">
        <f>'商品Database(Key保障內容）'!F17/'商品Database(Key保障內容）'!$B17</f>
        <v>0</v>
      </c>
      <c r="G17" s="1">
        <f>'商品Database(Key保障內容）'!G17/'商品Database(Key保障內容）'!$B17</f>
        <v>0</v>
      </c>
      <c r="H17" s="1">
        <f>'商品Database(Key保障內容）'!H17/'商品Database(Key保障內容）'!$B17</f>
        <v>0</v>
      </c>
      <c r="I17" s="1">
        <f>'商品Database(Key保障內容）'!I17/'商品Database(Key保障內容）'!$B17</f>
        <v>0</v>
      </c>
      <c r="J17" s="1">
        <f>'商品Database(Key保障內容）'!J17/'商品Database(Key保障內容）'!$B17</f>
        <v>0</v>
      </c>
      <c r="K17" s="1">
        <f>'商品Database(Key保障內容）'!K17/'商品Database(Key保障內容）'!$B17</f>
        <v>0</v>
      </c>
      <c r="L17" s="1">
        <f>'商品Database(Key保障內容）'!L17/'商品Database(Key保障內容）'!$B17</f>
        <v>0</v>
      </c>
      <c r="M17" s="1">
        <f>'商品Database(Key保障內容）'!M17/'商品Database(Key保障內容）'!$B17</f>
        <v>0</v>
      </c>
      <c r="N17" s="1">
        <f>'商品Database(Key保障內容）'!N17/'商品Database(Key保障內容）'!$B17</f>
        <v>0</v>
      </c>
      <c r="O17" s="1">
        <f>'商品Database(Key保障內容）'!O17/'商品Database(Key保障內容）'!$B17</f>
        <v>0</v>
      </c>
      <c r="P17" s="1">
        <f>'商品Database(Key保障內容）'!P17/'商品Database(Key保障內容）'!$B17</f>
        <v>0</v>
      </c>
      <c r="Q17" s="1">
        <f>'商品Database(Key保障內容）'!Q17/'商品Database(Key保障內容）'!$B17</f>
        <v>0</v>
      </c>
      <c r="R17" s="1">
        <f>'商品Database(Key保障內容）'!R17/'商品Database(Key保障內容）'!$B17</f>
        <v>1</v>
      </c>
      <c r="S17" s="1">
        <f>'商品Database(Key保障內容）'!S17/'商品Database(Key保障內容）'!$B17</f>
        <v>0</v>
      </c>
      <c r="T17" s="1">
        <f>'商品Database(Key保障內容）'!T17/'商品Database(Key保障內容）'!$B17</f>
        <v>0</v>
      </c>
      <c r="U17" s="1">
        <f>'商品Database(Key保障內容）'!U17/'商品Database(Key保障內容）'!$B17</f>
        <v>0</v>
      </c>
      <c r="V17" s="1">
        <f>'商品Database(Key保障內容）'!V17/'商品Database(Key保障內容）'!$B17</f>
        <v>0</v>
      </c>
      <c r="W17" s="1">
        <f>'商品Database(Key保障內容）'!W17/'商品Database(Key保障內容）'!$B17</f>
        <v>0</v>
      </c>
      <c r="X17" s="1">
        <f>'商品Database(Key保障內容）'!X17/'商品Database(Key保障內容）'!$B17</f>
        <v>0</v>
      </c>
      <c r="Y17" s="1">
        <f>'商品Database(Key保障內容）'!Y17/'商品Database(Key保障內容）'!$B17</f>
        <v>0</v>
      </c>
      <c r="Z17" s="1">
        <f>'商品Database(Key保障內容）'!Z17/'商品Database(Key保障內容）'!$B17</f>
        <v>0</v>
      </c>
      <c r="AA17" s="1">
        <f>'商品Database(Key保障內容）'!AA17/'商品Database(Key保障內容）'!$B17</f>
        <v>0</v>
      </c>
      <c r="AB17" s="1">
        <f>'商品Database(Key保障內容）'!AB17/'商品Database(Key保障內容）'!$B17</f>
        <v>0</v>
      </c>
      <c r="AC17" s="1">
        <f>'商品Database(Key保障內容）'!AC17/'商品Database(Key保障內容）'!$B17</f>
        <v>0</v>
      </c>
      <c r="AD17" s="1">
        <f>'商品Database(Key保障內容）'!AD17/'商品Database(Key保障內容）'!$B17</f>
        <v>0</v>
      </c>
      <c r="AE17" s="1">
        <f>'商品Database(Key保障內容）'!AE17/'商品Database(Key保障內容）'!$B17</f>
        <v>0</v>
      </c>
      <c r="AF17" s="1">
        <f>'商品Database(Key保障內容）'!AF17/'商品Database(Key保障內容）'!$B17</f>
        <v>0</v>
      </c>
      <c r="AG17" s="1">
        <f>'商品Database(Key保障內容）'!AG17/'商品Database(Key保障內容）'!$B17</f>
        <v>0</v>
      </c>
      <c r="AH17" s="1">
        <f>'商品Database(Key保障內容）'!AH17/'商品Database(Key保障內容）'!$B17</f>
        <v>0</v>
      </c>
      <c r="AI17" s="1">
        <f>'商品Database(Key保障內容）'!AI17/'商品Database(Key保障內容）'!$B17</f>
        <v>0</v>
      </c>
      <c r="AJ17" s="1">
        <f>'商品Database(Key保障內容）'!AJ17/'商品Database(Key保障內容）'!$B17</f>
        <v>0</v>
      </c>
      <c r="AK17" s="1">
        <f>'商品Database(Key保障內容）'!AK17/'商品Database(Key保障內容）'!$B17</f>
        <v>0</v>
      </c>
      <c r="AL17" s="1">
        <f>'商品Database(Key保障內容）'!AL17/'商品Database(Key保障內容）'!$B17</f>
        <v>0</v>
      </c>
      <c r="AM17" s="1">
        <f>'商品Database(Key保障內容）'!AM17/'商品Database(Key保障內容）'!$B17</f>
        <v>0</v>
      </c>
      <c r="AN17" s="1">
        <f>'商品Database(Key保障內容）'!AN17/'商品Database(Key保障內容）'!$B17</f>
        <v>0</v>
      </c>
    </row>
    <row r="18" spans="1:40">
      <c r="A18" s="16" t="str">
        <f>'商品Database(Key保障內容）'!A18</f>
        <v>ML</v>
      </c>
      <c r="B18" s="1">
        <v>10</v>
      </c>
      <c r="C18" s="1">
        <f>'商品Database(Key保障內容）'!C18/'商品Database(Key保障內容）'!$B18</f>
        <v>0</v>
      </c>
      <c r="D18" s="1">
        <f>'商品Database(Key保障內容）'!D18/'商品Database(Key保障內容）'!$B18</f>
        <v>0</v>
      </c>
      <c r="E18" s="1">
        <f>'商品Database(Key保障內容）'!E18/'商品Database(Key保障內容）'!$B18</f>
        <v>0</v>
      </c>
      <c r="F18" s="1">
        <f>'商品Database(Key保障內容）'!F18/'商品Database(Key保障內容）'!$B18</f>
        <v>0</v>
      </c>
      <c r="G18" s="1">
        <f>'商品Database(Key保障內容）'!G18/'商品Database(Key保障內容）'!$B18</f>
        <v>0</v>
      </c>
      <c r="H18" s="1">
        <f>'商品Database(Key保障內容）'!H18/'商品Database(Key保障內容）'!$B18</f>
        <v>0</v>
      </c>
      <c r="I18" s="1">
        <f>'商品Database(Key保障內容）'!I18/'商品Database(Key保障內容）'!$B18</f>
        <v>0</v>
      </c>
      <c r="J18" s="1">
        <f>'商品Database(Key保障內容）'!J18/'商品Database(Key保障內容）'!$B18</f>
        <v>0</v>
      </c>
      <c r="K18" s="1">
        <f>'商品Database(Key保障內容）'!K18/'商品Database(Key保障內容）'!$B18</f>
        <v>0</v>
      </c>
      <c r="L18" s="1">
        <f>'商品Database(Key保障內容）'!L18/'商品Database(Key保障內容）'!$B18</f>
        <v>100</v>
      </c>
      <c r="M18" s="1">
        <f>'商品Database(Key保障內容）'!M18/'商品Database(Key保障內容）'!$B18</f>
        <v>200</v>
      </c>
      <c r="N18" s="1">
        <f>'商品Database(Key保障內容）'!N18/'商品Database(Key保障內容）'!$B18</f>
        <v>2000</v>
      </c>
      <c r="O18" s="1">
        <f>'商品Database(Key保障內容）'!O18/'商品Database(Key保障內容）'!$B18</f>
        <v>0</v>
      </c>
      <c r="P18" s="1">
        <f>'商品Database(Key保障內容）'!P18/'商品Database(Key保障內容）'!$B18</f>
        <v>50</v>
      </c>
      <c r="Q18" s="1">
        <f>'商品Database(Key保障內容）'!Q18/'商品Database(Key保障內容）'!$B18</f>
        <v>50</v>
      </c>
      <c r="R18" s="1">
        <f>'商品Database(Key保障內容）'!R18/'商品Database(Key保障內容）'!$B18</f>
        <v>0</v>
      </c>
      <c r="S18" s="1">
        <f>'商品Database(Key保障內容）'!S18/'商品Database(Key保障內容）'!$B18</f>
        <v>0</v>
      </c>
      <c r="T18" s="1">
        <f>'商品Database(Key保障內容）'!T18/'商品Database(Key保障內容）'!$B18</f>
        <v>0</v>
      </c>
      <c r="U18" s="1">
        <f>'商品Database(Key保障內容）'!U18/'商品Database(Key保障內容）'!$B18</f>
        <v>0</v>
      </c>
      <c r="V18" s="1">
        <f>'商品Database(Key保障內容）'!V18/'商品Database(Key保障內容）'!$B18</f>
        <v>0</v>
      </c>
      <c r="W18" s="1">
        <f>'商品Database(Key保障內容）'!W18/'商品Database(Key保障內容）'!$B18</f>
        <v>0</v>
      </c>
      <c r="X18" s="1">
        <f>'商品Database(Key保障內容）'!X18/'商品Database(Key保障內容）'!$B18</f>
        <v>0</v>
      </c>
      <c r="Y18" s="1">
        <f>'商品Database(Key保障內容）'!Y18/'商品Database(Key保障內容）'!$B18</f>
        <v>0</v>
      </c>
      <c r="Z18" s="1">
        <f>'商品Database(Key保障內容）'!Z18/'商品Database(Key保障內容）'!$B18</f>
        <v>0</v>
      </c>
      <c r="AA18" s="1">
        <f>'商品Database(Key保障內容）'!AA18/'商品Database(Key保障內容）'!$B18</f>
        <v>0</v>
      </c>
      <c r="AB18" s="1">
        <f>'商品Database(Key保障內容）'!AB18/'商品Database(Key保障內容）'!$B18</f>
        <v>0</v>
      </c>
      <c r="AC18" s="1">
        <f>'商品Database(Key保障內容）'!AC18/'商品Database(Key保障內容）'!$B18</f>
        <v>0</v>
      </c>
      <c r="AD18" s="1">
        <f>'商品Database(Key保障內容）'!AD18/'商品Database(Key保障內容）'!$B18</f>
        <v>0</v>
      </c>
      <c r="AE18" s="1">
        <f>'商品Database(Key保障內容）'!AE18/'商品Database(Key保障內容）'!$B18</f>
        <v>0</v>
      </c>
      <c r="AF18" s="1">
        <f>'商品Database(Key保障內容）'!AF18/'商品Database(Key保障內容）'!$B18</f>
        <v>0</v>
      </c>
      <c r="AG18" s="1">
        <f>'商品Database(Key保障內容）'!AG18/'商品Database(Key保障內容）'!$B18</f>
        <v>0</v>
      </c>
      <c r="AH18" s="1">
        <f>'商品Database(Key保障內容）'!AH18/'商品Database(Key保障內容）'!$B18</f>
        <v>0</v>
      </c>
      <c r="AI18" s="1">
        <f>'商品Database(Key保障內容）'!AI18/'商品Database(Key保障內容）'!$B18</f>
        <v>0</v>
      </c>
      <c r="AJ18" s="1">
        <f>'商品Database(Key保障內容）'!AJ18/'商品Database(Key保障內容）'!$B18</f>
        <v>0</v>
      </c>
      <c r="AK18" s="1">
        <f>'商品Database(Key保障內容）'!AK18/'商品Database(Key保障內容）'!$B18</f>
        <v>0</v>
      </c>
      <c r="AL18" s="1">
        <f>'商品Database(Key保障內容）'!AL18/'商品Database(Key保障內容）'!$B18</f>
        <v>0</v>
      </c>
      <c r="AM18" s="1">
        <f>'商品Database(Key保障內容）'!AM18/'商品Database(Key保障內容）'!$B18</f>
        <v>0</v>
      </c>
      <c r="AN18" s="1">
        <f>'商品Database(Key保障內容）'!AN18/'商品Database(Key保障內容）'!$B18</f>
        <v>0</v>
      </c>
    </row>
    <row r="19" spans="1:40">
      <c r="A19" s="16" t="str">
        <f>'商品Database(Key保障內容）'!A19</f>
        <v>APAED</v>
      </c>
      <c r="B19" s="1">
        <v>3</v>
      </c>
      <c r="C19" s="1">
        <f>'商品Database(Key保障內容）'!C19/'商品Database(Key保障內容）'!$B19</f>
        <v>0</v>
      </c>
      <c r="D19" s="1">
        <f>'商品Database(Key保障內容）'!D19/'商品Database(Key保障內容）'!$B19</f>
        <v>0</v>
      </c>
      <c r="E19" s="1">
        <f>'商品Database(Key保障內容）'!E19/'商品Database(Key保障內容）'!$B19</f>
        <v>0</v>
      </c>
      <c r="F19" s="1">
        <f>'商品Database(Key保障內容）'!F19/'商品Database(Key保障內容）'!$B19</f>
        <v>0</v>
      </c>
      <c r="G19" s="1">
        <f>'商品Database(Key保障內容）'!G19/'商品Database(Key保障內容）'!$B19</f>
        <v>0</v>
      </c>
      <c r="H19" s="1">
        <f>'商品Database(Key保障內容）'!H19/'商品Database(Key保障內容）'!$B19</f>
        <v>0</v>
      </c>
      <c r="I19" s="1">
        <f>'商品Database(Key保障內容）'!I19/'商品Database(Key保障內容）'!$B19</f>
        <v>0</v>
      </c>
      <c r="J19" s="1">
        <f>'商品Database(Key保障內容）'!J19/'商品Database(Key保障內容）'!$B19</f>
        <v>0</v>
      </c>
      <c r="K19" s="1">
        <f>'商品Database(Key保障內容）'!K19/'商品Database(Key保障內容）'!$B19</f>
        <v>0</v>
      </c>
      <c r="L19" s="1">
        <f>'商品Database(Key保障內容）'!L19/'商品Database(Key保障內容）'!$B19</f>
        <v>0</v>
      </c>
      <c r="M19" s="1">
        <f>'商品Database(Key保障內容）'!M19/'商品Database(Key保障內容）'!$B19</f>
        <v>0</v>
      </c>
      <c r="N19" s="1">
        <f>'商品Database(Key保障內容）'!N19/'商品Database(Key保障內容）'!$B19</f>
        <v>0</v>
      </c>
      <c r="O19" s="1">
        <f>'商品Database(Key保障內容）'!O19/'商品Database(Key保障內容）'!$B19</f>
        <v>0</v>
      </c>
      <c r="P19" s="1">
        <f>'商品Database(Key保障內容）'!P19/'商品Database(Key保障內容）'!$B19</f>
        <v>0</v>
      </c>
      <c r="Q19" s="1">
        <f>'商品Database(Key保障內容）'!Q19/'商品Database(Key保障內容）'!$B19</f>
        <v>0</v>
      </c>
      <c r="R19" s="1">
        <f>'商品Database(Key保障內容）'!R19/'商品Database(Key保障內容）'!$B19</f>
        <v>0</v>
      </c>
      <c r="S19" s="1">
        <f>'商品Database(Key保障內容）'!S19/'商品Database(Key保障內容）'!$B19</f>
        <v>0</v>
      </c>
      <c r="T19" s="1">
        <f>'商品Database(Key保障內容）'!T19/'商品Database(Key保障內容）'!$B19</f>
        <v>0</v>
      </c>
      <c r="U19" s="1">
        <f>'商品Database(Key保障內容）'!U19/'商品Database(Key保障內容）'!$B19</f>
        <v>0</v>
      </c>
      <c r="V19" s="1">
        <f>'商品Database(Key保障內容）'!V19/'商品Database(Key保障內容）'!$B19</f>
        <v>0</v>
      </c>
      <c r="W19" s="1">
        <f>'商品Database(Key保障內容）'!W19/'商品Database(Key保障內容）'!$B19</f>
        <v>0</v>
      </c>
      <c r="X19" s="1">
        <f>'商品Database(Key保障內容）'!X19/'商品Database(Key保障內容）'!$B19</f>
        <v>0</v>
      </c>
      <c r="Y19" s="1">
        <f>'商品Database(Key保障內容）'!Y19/'商品Database(Key保障內容）'!$B19</f>
        <v>0</v>
      </c>
      <c r="Z19" s="1">
        <f>'商品Database(Key保障內容）'!Z19/'商品Database(Key保障內容）'!$B19</f>
        <v>0</v>
      </c>
      <c r="AA19" s="1">
        <f>'商品Database(Key保障內容）'!AA19/'商品Database(Key保障內容）'!$B19</f>
        <v>0</v>
      </c>
      <c r="AB19" s="1">
        <f>'商品Database(Key保障內容）'!AB19/'商品Database(Key保障內容）'!$B19</f>
        <v>0</v>
      </c>
      <c r="AC19" s="1">
        <f>'商品Database(Key保障內容）'!AC19/'商品Database(Key保障內容）'!$B19</f>
        <v>0</v>
      </c>
      <c r="AD19" s="1">
        <f>'商品Database(Key保障內容）'!AD19/'商品Database(Key保障內容）'!$B19</f>
        <v>0</v>
      </c>
      <c r="AE19" s="1">
        <f>'商品Database(Key保障內容）'!AE19/'商品Database(Key保障內容）'!$B19</f>
        <v>0</v>
      </c>
      <c r="AF19" s="1">
        <f>'商品Database(Key保障內容）'!AF19/'商品Database(Key保障內容）'!$B19</f>
        <v>0</v>
      </c>
      <c r="AG19" s="1">
        <f>'商品Database(Key保障內容）'!AG19/'商品Database(Key保障內容）'!$B19</f>
        <v>0</v>
      </c>
      <c r="AH19" s="1">
        <f>'商品Database(Key保障內容）'!AH19/'商品Database(Key保障內容）'!$B19</f>
        <v>0</v>
      </c>
      <c r="AI19" s="1">
        <f>'商品Database(Key保障內容）'!AI19/'商品Database(Key保障內容）'!$B19</f>
        <v>0</v>
      </c>
      <c r="AJ19" s="1">
        <f>'商品Database(Key保障內容）'!AJ19/'商品Database(Key保障內容）'!$B19</f>
        <v>8333.3333333333339</v>
      </c>
      <c r="AK19" s="1">
        <f>'商品Database(Key保障內容）'!AK19/'商品Database(Key保障內容）'!$B19</f>
        <v>0</v>
      </c>
      <c r="AL19" s="1">
        <f>'商品Database(Key保障內容）'!AL19/'商品Database(Key保障內容）'!$B19</f>
        <v>5833.333333333333</v>
      </c>
      <c r="AM19" s="1">
        <f>'商品Database(Key保障內容）'!AM19/'商品Database(Key保障內容）'!$B19</f>
        <v>0</v>
      </c>
      <c r="AN19" s="1">
        <f>'商品Database(Key保障內容）'!AN19/'商品Database(Key保障內容）'!$B19</f>
        <v>0</v>
      </c>
    </row>
    <row r="20" spans="1:40">
      <c r="A20" s="16" t="str">
        <f>'商品Database(Key保障內容）'!A20</f>
        <v>IHLR</v>
      </c>
      <c r="B20" s="1">
        <v>5</v>
      </c>
      <c r="C20" s="1">
        <f>'商品Database(Key保障內容）'!C20/'商品Database(Key保障內容）'!$B20</f>
        <v>100</v>
      </c>
      <c r="D20" s="1">
        <f>'商品Database(Key保障內容）'!D20/'商品Database(Key保障內容）'!$B20</f>
        <v>200</v>
      </c>
      <c r="E20" s="1">
        <f>'商品Database(Key保障內容）'!E20/'商品Database(Key保障內容）'!$B20</f>
        <v>2000</v>
      </c>
      <c r="F20" s="1">
        <f>'商品Database(Key保障內容）'!F20/'商品Database(Key保障內容）'!$B20</f>
        <v>0</v>
      </c>
      <c r="G20" s="1">
        <f>'商品Database(Key保障內容）'!G20/'商品Database(Key保障內容）'!$B20</f>
        <v>0</v>
      </c>
      <c r="H20" s="1">
        <f>'商品Database(Key保障內容）'!H20/'商品Database(Key保障內容）'!$B20</f>
        <v>0</v>
      </c>
      <c r="I20" s="1">
        <f>'商品Database(Key保障內容）'!I20/'商品Database(Key保障內容）'!$B20</f>
        <v>0</v>
      </c>
      <c r="J20" s="1">
        <f>'商品Database(Key保障內容）'!J20/'商品Database(Key保障內容）'!$B20</f>
        <v>0</v>
      </c>
      <c r="K20" s="1">
        <f>'商品Database(Key保障內容）'!K20/'商品Database(Key保障內容）'!$B20</f>
        <v>0</v>
      </c>
      <c r="L20" s="1">
        <f>'商品Database(Key保障內容）'!L20/'商品Database(Key保障內容）'!$B20</f>
        <v>0</v>
      </c>
      <c r="M20" s="1">
        <f>'商品Database(Key保障內容）'!M20/'商品Database(Key保障內容）'!$B20</f>
        <v>0</v>
      </c>
      <c r="N20" s="1">
        <f>'商品Database(Key保障內容）'!N20/'商品Database(Key保障內容）'!$B20</f>
        <v>0</v>
      </c>
      <c r="O20" s="1">
        <f>'商品Database(Key保障內容）'!O20/'商品Database(Key保障內容）'!$B20</f>
        <v>0</v>
      </c>
      <c r="P20" s="1">
        <f>'商品Database(Key保障內容）'!P20/'商品Database(Key保障內容）'!$B20</f>
        <v>0</v>
      </c>
      <c r="Q20" s="1">
        <f>'商品Database(Key保障內容）'!Q20/'商品Database(Key保障內容）'!$B20</f>
        <v>0</v>
      </c>
      <c r="R20" s="1">
        <f>'商品Database(Key保障內容）'!R20/'商品Database(Key保障內容）'!$B20</f>
        <v>0</v>
      </c>
      <c r="S20" s="1">
        <f>'商品Database(Key保障內容）'!S20/'商品Database(Key保障內容）'!$B20</f>
        <v>0</v>
      </c>
      <c r="T20" s="1">
        <f>'商品Database(Key保障內容）'!T20/'商品Database(Key保障內容）'!$B20</f>
        <v>0</v>
      </c>
      <c r="U20" s="1">
        <f>'商品Database(Key保障內容）'!U20/'商品Database(Key保障內容）'!$B20</f>
        <v>0</v>
      </c>
      <c r="V20" s="1">
        <f>'商品Database(Key保障內容）'!V20/'商品Database(Key保障內容）'!$B20</f>
        <v>0</v>
      </c>
      <c r="W20" s="1">
        <f>'商品Database(Key保障內容）'!W20/'商品Database(Key保障內容）'!$B20</f>
        <v>0</v>
      </c>
      <c r="X20" s="1">
        <f>'商品Database(Key保障內容）'!X20/'商品Database(Key保障內容）'!$B20</f>
        <v>0</v>
      </c>
      <c r="Y20" s="1">
        <f>'商品Database(Key保障內容）'!Y20/'商品Database(Key保障內容）'!$B20</f>
        <v>0</v>
      </c>
      <c r="Z20" s="1">
        <f>'商品Database(Key保障內容）'!Z20/'商品Database(Key保障內容）'!$B20</f>
        <v>0</v>
      </c>
      <c r="AA20" s="1">
        <f>'商品Database(Key保障內容）'!AA20/'商品Database(Key保障內容）'!$B20</f>
        <v>0</v>
      </c>
      <c r="AB20" s="1">
        <f>'商品Database(Key保障內容）'!AB20/'商品Database(Key保障內容）'!$B20</f>
        <v>0</v>
      </c>
      <c r="AC20" s="1">
        <f>'商品Database(Key保障內容）'!AC20/'商品Database(Key保障內容）'!$B20</f>
        <v>0</v>
      </c>
      <c r="AD20" s="1">
        <f>'商品Database(Key保障內容）'!AD20/'商品Database(Key保障內容）'!$B20</f>
        <v>0</v>
      </c>
      <c r="AE20" s="1">
        <f>'商品Database(Key保障內容）'!AE20/'商品Database(Key保障內容）'!$B20</f>
        <v>0</v>
      </c>
      <c r="AF20" s="1">
        <f>'商品Database(Key保障內容）'!AF20/'商品Database(Key保障內容）'!$B20</f>
        <v>0</v>
      </c>
      <c r="AG20" s="1">
        <f>'商品Database(Key保障內容）'!AG20/'商品Database(Key保障內容）'!$B20</f>
        <v>0</v>
      </c>
      <c r="AH20" s="1">
        <f>'商品Database(Key保障內容）'!AH20/'商品Database(Key保障內容）'!$B20</f>
        <v>0</v>
      </c>
      <c r="AI20" s="1">
        <f>'商品Database(Key保障內容）'!AI20/'商品Database(Key保障內容）'!$B20</f>
        <v>0</v>
      </c>
      <c r="AJ20" s="1">
        <f>'商品Database(Key保障內容）'!AJ20/'商品Database(Key保障內容）'!$B20</f>
        <v>0</v>
      </c>
      <c r="AK20" s="1">
        <f>'商品Database(Key保障內容）'!AK20/'商品Database(Key保障內容）'!$B20</f>
        <v>0</v>
      </c>
      <c r="AL20" s="1">
        <f>'商品Database(Key保障內容）'!AL20/'商品Database(Key保障內容）'!$B20</f>
        <v>0</v>
      </c>
      <c r="AM20" s="1">
        <f>'商品Database(Key保障內容）'!AM20/'商品Database(Key保障內容）'!$B20</f>
        <v>0</v>
      </c>
      <c r="AN20" s="1">
        <f>'商品Database(Key保障內容）'!AN20/'商品Database(Key保障內容）'!$B20</f>
        <v>0</v>
      </c>
    </row>
    <row r="21" spans="1:40">
      <c r="A21" s="16" t="s">
        <v>154</v>
      </c>
      <c r="B21" s="1">
        <v>50</v>
      </c>
      <c r="C21" s="1">
        <f>'商品Database(Key保障內容）'!C21/'商品Database(Key保障內容）'!$B21</f>
        <v>0</v>
      </c>
      <c r="D21" s="1">
        <f>'商品Database(Key保障內容）'!D21/'商品Database(Key保障內容）'!$B21</f>
        <v>0</v>
      </c>
      <c r="E21" s="1">
        <f>'商品Database(Key保障內容）'!E21/'商品Database(Key保障內容）'!$B21</f>
        <v>0</v>
      </c>
      <c r="F21" s="1">
        <f>'商品Database(Key保障內容）'!F21/'商品Database(Key保障內容）'!$B21</f>
        <v>0</v>
      </c>
      <c r="G21" s="1">
        <f>'商品Database(Key保障內容）'!G21/'商品Database(Key保障內容）'!$B21</f>
        <v>0</v>
      </c>
      <c r="H21" s="1">
        <f>'商品Database(Key保障內容）'!H21/'商品Database(Key保障內容）'!$B21</f>
        <v>0</v>
      </c>
      <c r="I21" s="1">
        <f>'商品Database(Key保障內容）'!I21/'商品Database(Key保障內容）'!$B21</f>
        <v>0</v>
      </c>
      <c r="J21" s="1">
        <f>'商品Database(Key保障內容）'!J21/'商品Database(Key保障內容）'!$B21</f>
        <v>0</v>
      </c>
      <c r="K21" s="1">
        <f>'商品Database(Key保障內容）'!K21/'商品Database(Key保障內容）'!$B21</f>
        <v>0</v>
      </c>
      <c r="L21" s="1">
        <f>'商品Database(Key保障內容）'!L21/'商品Database(Key保障內容）'!$B21</f>
        <v>0</v>
      </c>
      <c r="M21" s="1">
        <f>'商品Database(Key保障內容）'!M21/'商品Database(Key保障內容）'!$B21</f>
        <v>0</v>
      </c>
      <c r="N21" s="1">
        <f>'商品Database(Key保障內容）'!N21/'商品Database(Key保障內容）'!$B21</f>
        <v>0</v>
      </c>
      <c r="O21" s="1">
        <f>'商品Database(Key保障內容）'!O21/'商品Database(Key保障內容）'!$B21</f>
        <v>0</v>
      </c>
      <c r="P21" s="1">
        <f>'商品Database(Key保障內容）'!P21/'商品Database(Key保障內容）'!$B21</f>
        <v>0</v>
      </c>
      <c r="Q21" s="1">
        <f>'商品Database(Key保障內容）'!Q21/'商品Database(Key保障內容）'!$B21</f>
        <v>0</v>
      </c>
      <c r="R21" s="1">
        <f>'商品Database(Key保障內容）'!R21/'商品Database(Key保障內容）'!$B21</f>
        <v>0</v>
      </c>
      <c r="S21" s="1">
        <f>'商品Database(Key保障內容）'!S21/'商品Database(Key保障內容）'!$B21</f>
        <v>0</v>
      </c>
      <c r="T21" s="1">
        <f>'商品Database(Key保障內容）'!T21/'商品Database(Key保障內容）'!$B21</f>
        <v>1</v>
      </c>
      <c r="U21" s="1">
        <f>'商品Database(Key保障內容）'!U21/'商品Database(Key保障內容）'!$B21</f>
        <v>0</v>
      </c>
      <c r="V21" s="1">
        <f>'商品Database(Key保障內容）'!V21/'商品Database(Key保障內容）'!$B21</f>
        <v>0</v>
      </c>
      <c r="W21" s="1">
        <f>'商品Database(Key保障內容）'!W21/'商品Database(Key保障內容）'!$B21</f>
        <v>0</v>
      </c>
      <c r="X21" s="1">
        <f>'商品Database(Key保障內容）'!X21/'商品Database(Key保障內容）'!$B21</f>
        <v>0</v>
      </c>
      <c r="Y21" s="1">
        <f>'商品Database(Key保障內容）'!Y21/'商品Database(Key保障內容）'!$B21</f>
        <v>0</v>
      </c>
      <c r="Z21" s="1">
        <f>'商品Database(Key保障內容）'!Z21/'商品Database(Key保障內容）'!$B21</f>
        <v>0</v>
      </c>
      <c r="AA21" s="1">
        <f>'商品Database(Key保障內容）'!AA21/'商品Database(Key保障內容）'!$B21</f>
        <v>0</v>
      </c>
      <c r="AB21" s="1">
        <f>'商品Database(Key保障內容）'!AB21/'商品Database(Key保障內容）'!$B21</f>
        <v>1</v>
      </c>
      <c r="AC21" s="1">
        <f>'商品Database(Key保障內容）'!AC21/'商品Database(Key保障內容）'!$B21</f>
        <v>0</v>
      </c>
      <c r="AD21" s="1">
        <f>'商品Database(Key保障內容）'!AD21/'商品Database(Key保障內容）'!$B21</f>
        <v>0</v>
      </c>
      <c r="AE21" s="1">
        <f>'商品Database(Key保障內容）'!AE21/'商品Database(Key保障內容）'!$B21</f>
        <v>0</v>
      </c>
      <c r="AF21" s="1">
        <f>'商品Database(Key保障內容）'!AF21/'商品Database(Key保障內容）'!$B21</f>
        <v>0</v>
      </c>
      <c r="AG21" s="1">
        <f>'商品Database(Key保障內容）'!AG21/'商品Database(Key保障內容）'!$B21</f>
        <v>0</v>
      </c>
      <c r="AH21" s="1">
        <f>'商品Database(Key保障內容）'!AH21/'商品Database(Key保障內容）'!$B21</f>
        <v>0</v>
      </c>
      <c r="AI21" s="1">
        <f>'商品Database(Key保障內容）'!AI21/'商品Database(Key保障內容）'!$B21</f>
        <v>0</v>
      </c>
      <c r="AJ21" s="1">
        <f>'商品Database(Key保障內容）'!AJ21/'商品Database(Key保障內容）'!$B21</f>
        <v>0</v>
      </c>
      <c r="AK21" s="1">
        <f>'商品Database(Key保障內容）'!AK21/'商品Database(Key保障內容）'!$B21</f>
        <v>0</v>
      </c>
      <c r="AL21" s="1">
        <f>'商品Database(Key保障內容）'!AL21/'商品Database(Key保障內容）'!$B21</f>
        <v>0</v>
      </c>
      <c r="AM21" s="1">
        <f>'商品Database(Key保障內容）'!AM21/'商品Database(Key保障內容）'!$B21</f>
        <v>0</v>
      </c>
      <c r="AN21" s="1">
        <f>'商品Database(Key保障內容）'!AN21/'商品Database(Key保障內容）'!$B21</f>
        <v>0</v>
      </c>
    </row>
    <row r="22" spans="1:40">
      <c r="A22" s="16" t="str">
        <f>'商品Database(Key保障內容）'!A22</f>
        <v>LEGOBD</v>
      </c>
      <c r="B22" s="1">
        <v>500</v>
      </c>
      <c r="C22" s="1">
        <f>'商品Database(Key保障內容）'!C22/'商品Database(Key保障內容）'!$B22</f>
        <v>0</v>
      </c>
      <c r="D22" s="1">
        <f>'商品Database(Key保障內容）'!D22/'商品Database(Key保障內容）'!$B22</f>
        <v>0</v>
      </c>
      <c r="E22" s="1">
        <f>'商品Database(Key保障內容）'!E22/'商品Database(Key保障內容）'!$B22</f>
        <v>10</v>
      </c>
      <c r="F22" s="1">
        <f>'商品Database(Key保障內容）'!F22/'商品Database(Key保障內容）'!$B22</f>
        <v>0</v>
      </c>
      <c r="G22" s="1">
        <f>'商品Database(Key保障內容）'!G22/'商品Database(Key保障內容）'!$B22</f>
        <v>0</v>
      </c>
      <c r="H22" s="1">
        <f>'商品Database(Key保障內容）'!H22/'商品Database(Key保障內容）'!$B22</f>
        <v>1</v>
      </c>
      <c r="I22" s="1">
        <f>'商品Database(Key保障內容）'!I22/'商品Database(Key保障內容）'!$B22</f>
        <v>0</v>
      </c>
      <c r="J22" s="1">
        <f>'商品Database(Key保障內容）'!J22/'商品Database(Key保障內容）'!$B22</f>
        <v>0</v>
      </c>
      <c r="K22" s="1">
        <f>'商品Database(Key保障內容）'!K22/'商品Database(Key保障內容）'!$B22</f>
        <v>0</v>
      </c>
      <c r="L22" s="1">
        <f>'商品Database(Key保障內容）'!L22/'商品Database(Key保障內容）'!$B22</f>
        <v>0</v>
      </c>
      <c r="M22" s="1">
        <f>'商品Database(Key保障內容）'!M22/'商品Database(Key保障內容）'!$B22</f>
        <v>0</v>
      </c>
      <c r="N22" s="1">
        <f>'商品Database(Key保障內容）'!N22/'商品Database(Key保障內容）'!$B22</f>
        <v>0</v>
      </c>
      <c r="O22" s="1">
        <f>'商品Database(Key保障內容）'!O22/'商品Database(Key保障內容）'!$B22</f>
        <v>0</v>
      </c>
      <c r="P22" s="1">
        <f>'商品Database(Key保障內容）'!P22/'商品Database(Key保障內容）'!$B22</f>
        <v>0</v>
      </c>
      <c r="Q22" s="1">
        <f>'商品Database(Key保障內容）'!Q22/'商品Database(Key保障內容）'!$B22</f>
        <v>0</v>
      </c>
      <c r="R22" s="1">
        <f>'商品Database(Key保障內容）'!R22/'商品Database(Key保障內容）'!$B22</f>
        <v>0</v>
      </c>
      <c r="S22" s="1">
        <f>'商品Database(Key保障內容）'!S22/'商品Database(Key保障內容）'!$B22</f>
        <v>0</v>
      </c>
      <c r="T22" s="1">
        <f>'商品Database(Key保障內容）'!T22/'商品Database(Key保障內容）'!$B22</f>
        <v>0</v>
      </c>
      <c r="U22" s="1">
        <f>'商品Database(Key保障內容）'!U22/'商品Database(Key保障內容）'!$B22</f>
        <v>0</v>
      </c>
      <c r="V22" s="1">
        <f>'商品Database(Key保障內容）'!V22/'商品Database(Key保障內容）'!$B22</f>
        <v>0</v>
      </c>
      <c r="W22" s="1">
        <f>'商品Database(Key保障內容）'!W22/'商品Database(Key保障內容）'!$B22</f>
        <v>0</v>
      </c>
      <c r="X22" s="1">
        <f>'商品Database(Key保障內容）'!X22/'商品Database(Key保障內容）'!$B22</f>
        <v>0</v>
      </c>
      <c r="Y22" s="1">
        <f>'商品Database(Key保障內容）'!Y22/'商品Database(Key保障內容）'!$B22</f>
        <v>0</v>
      </c>
      <c r="Z22" s="1">
        <f>'商品Database(Key保障內容）'!Z22/'商品Database(Key保障內容）'!$B22</f>
        <v>0</v>
      </c>
      <c r="AA22" s="1">
        <f>'商品Database(Key保障內容）'!AA22/'商品Database(Key保障內容）'!$B22</f>
        <v>0</v>
      </c>
      <c r="AB22" s="1">
        <f>'商品Database(Key保障內容）'!AB22/'商品Database(Key保障內容）'!$B22</f>
        <v>0</v>
      </c>
      <c r="AC22" s="1">
        <f>'商品Database(Key保障內容）'!AC22/'商品Database(Key保障內容）'!$B22</f>
        <v>0</v>
      </c>
      <c r="AD22" s="1">
        <f>'商品Database(Key保障內容）'!AD22/'商品Database(Key保障內容）'!$B22</f>
        <v>0</v>
      </c>
      <c r="AE22" s="1">
        <f>'商品Database(Key保障內容）'!AE22/'商品Database(Key保障內容）'!$B22</f>
        <v>0</v>
      </c>
      <c r="AF22" s="1">
        <f>'商品Database(Key保障內容）'!AF22/'商品Database(Key保障內容）'!$B22</f>
        <v>0</v>
      </c>
      <c r="AG22" s="1">
        <f>'商品Database(Key保障內容）'!AG22/'商品Database(Key保障內容）'!$B22</f>
        <v>0</v>
      </c>
      <c r="AH22" s="1">
        <f>'商品Database(Key保障內容）'!AH22/'商品Database(Key保障內容）'!$B22</f>
        <v>0</v>
      </c>
      <c r="AI22" s="1">
        <f>'商品Database(Key保障內容）'!AI22/'商品Database(Key保障內容）'!$B22</f>
        <v>0</v>
      </c>
      <c r="AJ22" s="1">
        <f>'商品Database(Key保障內容）'!AJ22/'商品Database(Key保障內容）'!$B22</f>
        <v>0</v>
      </c>
      <c r="AK22" s="1">
        <f>'商品Database(Key保障內容）'!AK22/'商品Database(Key保障內容）'!$B22</f>
        <v>0</v>
      </c>
      <c r="AL22" s="1">
        <f>'商品Database(Key保障內容）'!AL22/'商品Database(Key保障內容）'!$B22</f>
        <v>0</v>
      </c>
      <c r="AM22" s="1">
        <f>'商品Database(Key保障內容）'!AM22/'商品Database(Key保障內容）'!$B22</f>
        <v>0</v>
      </c>
      <c r="AN22" s="1">
        <f>'商品Database(Key保障內容）'!AN22/'商品Database(Key保障內容）'!$B22</f>
        <v>0</v>
      </c>
    </row>
    <row r="23" spans="1:40">
      <c r="A23" s="16" t="str">
        <f>'商品Database(Key保障內容）'!A23</f>
        <v>LEGORA</v>
      </c>
      <c r="B23" s="1">
        <v>1</v>
      </c>
      <c r="C23" s="1">
        <f>'商品Database(Key保障內容）'!C23/'商品Database(Key保障內容）'!$B23</f>
        <v>500</v>
      </c>
      <c r="D23" s="1">
        <f>'商品Database(Key保障內容）'!D23/'商品Database(Key保障內容）'!$B23</f>
        <v>1000</v>
      </c>
      <c r="E23" s="1">
        <f>'商品Database(Key保障內容）'!E23/'商品Database(Key保障內容）'!$B23</f>
        <v>0</v>
      </c>
      <c r="F23" s="1">
        <f>'商品Database(Key保障內容）'!F23/'商品Database(Key保障內容）'!$B23</f>
        <v>15000</v>
      </c>
      <c r="G23" s="1">
        <f>'商品Database(Key保障內容）'!G23/'商品Database(Key保障內容）'!$B23</f>
        <v>0</v>
      </c>
      <c r="H23" s="1">
        <f>'商品Database(Key保障內容）'!H23/'商品Database(Key保障內容）'!$B23</f>
        <v>0</v>
      </c>
      <c r="I23" s="1">
        <f>'商品Database(Key保障內容）'!I23/'商品Database(Key保障內容）'!$B23</f>
        <v>15000</v>
      </c>
      <c r="J23" s="1">
        <f>'商品Database(Key保障內容）'!J23/'商品Database(Key保障內容）'!$B23</f>
        <v>50000</v>
      </c>
      <c r="K23" s="1">
        <f>'商品Database(Key保障內容）'!K23/'商品Database(Key保障內容）'!$B23</f>
        <v>150000</v>
      </c>
      <c r="L23" s="1">
        <f>'商品Database(Key保障內容）'!L23/'商品Database(Key保障內容）'!$B23</f>
        <v>0</v>
      </c>
      <c r="M23" s="1">
        <f>'商品Database(Key保障內容）'!M23/'商品Database(Key保障內容）'!$B23</f>
        <v>0</v>
      </c>
      <c r="N23" s="1">
        <f>'商品Database(Key保障內容）'!N23/'商品Database(Key保障內容）'!$B23</f>
        <v>0</v>
      </c>
      <c r="O23" s="1">
        <f>'商品Database(Key保障內容）'!O23/'商品Database(Key保障內容）'!$B23</f>
        <v>0</v>
      </c>
      <c r="P23" s="1">
        <f>'商品Database(Key保障內容）'!P23/'商品Database(Key保障內容）'!$B23</f>
        <v>0</v>
      </c>
      <c r="Q23" s="1">
        <f>'商品Database(Key保障內容）'!Q23/'商品Database(Key保障內容）'!$B23</f>
        <v>0</v>
      </c>
      <c r="R23" s="1">
        <f>'商品Database(Key保障內容）'!R23/'商品Database(Key保障內容）'!$B23</f>
        <v>0</v>
      </c>
      <c r="S23" s="1">
        <f>'商品Database(Key保障內容）'!S23/'商品Database(Key保障內容）'!$B23</f>
        <v>0</v>
      </c>
      <c r="T23" s="1">
        <f>'商品Database(Key保障內容）'!T23/'商品Database(Key保障內容）'!$B23</f>
        <v>0</v>
      </c>
      <c r="U23" s="1">
        <f>'商品Database(Key保障內容）'!U23/'商品Database(Key保障內容）'!$B23</f>
        <v>0</v>
      </c>
      <c r="V23" s="1">
        <f>'商品Database(Key保障內容）'!V23/'商品Database(Key保障內容）'!$B23</f>
        <v>0</v>
      </c>
      <c r="W23" s="1">
        <f>'商品Database(Key保障內容）'!W23/'商品Database(Key保障內容）'!$B23</f>
        <v>0</v>
      </c>
      <c r="X23" s="1">
        <f>'商品Database(Key保障內容）'!X23/'商品Database(Key保障內容）'!$B23</f>
        <v>0</v>
      </c>
      <c r="Y23" s="1">
        <f>'商品Database(Key保障內容）'!Y23/'商品Database(Key保障內容）'!$B23</f>
        <v>0</v>
      </c>
      <c r="Z23" s="1">
        <f>'商品Database(Key保障內容）'!Z23/'商品Database(Key保障內容）'!$B23</f>
        <v>0</v>
      </c>
      <c r="AA23" s="1">
        <f>'商品Database(Key保障內容）'!AA23/'商品Database(Key保障內容）'!$B23</f>
        <v>0</v>
      </c>
      <c r="AB23" s="1">
        <f>'商品Database(Key保障內容）'!AB23/'商品Database(Key保障內容）'!$B23</f>
        <v>0</v>
      </c>
      <c r="AC23" s="1">
        <f>'商品Database(Key保障內容）'!AC23/'商品Database(Key保障內容）'!$B23</f>
        <v>0</v>
      </c>
      <c r="AD23" s="1">
        <f>'商品Database(Key保障內容）'!AD23/'商品Database(Key保障內容）'!$B23</f>
        <v>0</v>
      </c>
      <c r="AE23" s="1">
        <f>'商品Database(Key保障內容）'!AE23/'商品Database(Key保障內容）'!$B23</f>
        <v>0</v>
      </c>
      <c r="AF23" s="1">
        <f>'商品Database(Key保障內容）'!AF23/'商品Database(Key保障內容）'!$B23</f>
        <v>0</v>
      </c>
      <c r="AG23" s="1">
        <f>'商品Database(Key保障內容）'!AG23/'商品Database(Key保障內容）'!$B23</f>
        <v>0</v>
      </c>
      <c r="AH23" s="1">
        <f>'商品Database(Key保障內容）'!AH23/'商品Database(Key保障內容）'!$B23</f>
        <v>0</v>
      </c>
      <c r="AI23" s="1">
        <f>'商品Database(Key保障內容）'!AI23/'商品Database(Key保障內容）'!$B23</f>
        <v>0</v>
      </c>
      <c r="AJ23" s="1">
        <f>'商品Database(Key保障內容）'!AJ23/'商品Database(Key保障內容）'!$B23</f>
        <v>0</v>
      </c>
      <c r="AK23" s="1">
        <f>'商品Database(Key保障內容）'!AK23/'商品Database(Key保障內容）'!$B23</f>
        <v>0</v>
      </c>
      <c r="AL23" s="1">
        <f>'商品Database(Key保障內容）'!AL23/'商品Database(Key保障內容）'!$B23</f>
        <v>0</v>
      </c>
      <c r="AM23" s="1">
        <f>'商品Database(Key保障內容）'!AM23/'商品Database(Key保障內容）'!$B23</f>
        <v>0</v>
      </c>
      <c r="AN23" s="1">
        <f>'商品Database(Key保障內容）'!AN23/'商品Database(Key保障內容）'!$B23</f>
        <v>0</v>
      </c>
    </row>
    <row r="24" spans="1:40">
      <c r="A24" s="16" t="str">
        <f>'商品Database(Key保障內容）'!A24</f>
        <v>LEGOQA</v>
      </c>
      <c r="B24" s="1">
        <v>500</v>
      </c>
      <c r="C24" s="1">
        <f>'商品Database(Key保障內容）'!C24/'商品Database(Key保障內容）'!$B24</f>
        <v>1.5</v>
      </c>
      <c r="D24" s="1">
        <f>'商品Database(Key保障內容）'!D24/'商品Database(Key保障內容）'!$B24</f>
        <v>3.5</v>
      </c>
      <c r="E24" s="1">
        <f>'商品Database(Key保障內容）'!E24/'商品Database(Key保障內容）'!$B24</f>
        <v>0</v>
      </c>
      <c r="F24" s="1">
        <f>'商品Database(Key保障內容）'!F24/'商品Database(Key保障內容）'!$B24</f>
        <v>0</v>
      </c>
      <c r="G24" s="1">
        <f>'商品Database(Key保障內容）'!G24/'商品Database(Key保障內容）'!$B24</f>
        <v>0</v>
      </c>
      <c r="H24" s="1">
        <f>'商品Database(Key保障內容）'!H24/'商品Database(Key保障內容）'!$B24</f>
        <v>0</v>
      </c>
      <c r="I24" s="1">
        <f>'商品Database(Key保障內容）'!I24/'商品Database(Key保障內容）'!$B24</f>
        <v>0</v>
      </c>
      <c r="J24" s="1">
        <f>'商品Database(Key保障內容）'!J24/'商品Database(Key保障內容）'!$B24</f>
        <v>0</v>
      </c>
      <c r="K24" s="1">
        <f>'商品Database(Key保障內容）'!K24/'商品Database(Key保障內容）'!$B24</f>
        <v>0</v>
      </c>
      <c r="L24" s="1">
        <f>'商品Database(Key保障內容）'!L24/'商品Database(Key保障內容）'!$B24</f>
        <v>0</v>
      </c>
      <c r="M24" s="1">
        <f>'商品Database(Key保障內容）'!M24/'商品Database(Key保障內容）'!$B24</f>
        <v>0</v>
      </c>
      <c r="N24" s="1">
        <f>'商品Database(Key保障內容）'!N24/'商品Database(Key保障內容）'!$B24</f>
        <v>0</v>
      </c>
      <c r="O24" s="1">
        <f>'商品Database(Key保障內容）'!O24/'商品Database(Key保障內容）'!$B24</f>
        <v>0</v>
      </c>
      <c r="P24" s="1">
        <f>'商品Database(Key保障內容）'!P24/'商品Database(Key保障內容）'!$B24</f>
        <v>0</v>
      </c>
      <c r="Q24" s="1">
        <f>'商品Database(Key保障內容）'!Q24/'商品Database(Key保障內容）'!$B24</f>
        <v>0</v>
      </c>
      <c r="R24" s="1">
        <f>'商品Database(Key保障內容）'!R24/'商品Database(Key保障內容）'!$B24</f>
        <v>0</v>
      </c>
      <c r="S24" s="1">
        <f>'商品Database(Key保障內容）'!S24/'商品Database(Key保障內容）'!$B24</f>
        <v>0</v>
      </c>
      <c r="T24" s="1">
        <f>'商品Database(Key保障內容）'!T24/'商品Database(Key保障內容）'!$B24</f>
        <v>0</v>
      </c>
      <c r="U24" s="1">
        <f>'商品Database(Key保障內容）'!U24/'商品Database(Key保障內容）'!$B24</f>
        <v>0</v>
      </c>
      <c r="V24" s="1">
        <f>'商品Database(Key保障內容）'!V24/'商品Database(Key保障內容）'!$B24</f>
        <v>0</v>
      </c>
      <c r="W24" s="1">
        <f>'商品Database(Key保障內容）'!W24/'商品Database(Key保障內容）'!$B24</f>
        <v>0</v>
      </c>
      <c r="X24" s="1">
        <f>'商品Database(Key保障內容）'!X24/'商品Database(Key保障內容）'!$B24</f>
        <v>0</v>
      </c>
      <c r="Y24" s="1">
        <f>'商品Database(Key保障內容）'!Y24/'商品Database(Key保障內容）'!$B24</f>
        <v>0</v>
      </c>
      <c r="Z24" s="1">
        <f>'商品Database(Key保障內容）'!Z24/'商品Database(Key保障內容）'!$B24</f>
        <v>0</v>
      </c>
      <c r="AA24" s="1">
        <f>'商品Database(Key保障內容）'!AA24/'商品Database(Key保障內容）'!$B24</f>
        <v>0</v>
      </c>
      <c r="AB24" s="1">
        <f>'商品Database(Key保障內容）'!AB24/'商品Database(Key保障內容）'!$B24</f>
        <v>0</v>
      </c>
      <c r="AC24" s="1">
        <f>'商品Database(Key保障內容）'!AC24/'商品Database(Key保障內容）'!$B24</f>
        <v>0</v>
      </c>
      <c r="AD24" s="1">
        <f>'商品Database(Key保障內容）'!AD24/'商品Database(Key保障內容）'!$B24</f>
        <v>0</v>
      </c>
      <c r="AE24" s="1">
        <f>'商品Database(Key保障內容）'!AE24/'商品Database(Key保障內容）'!$B24</f>
        <v>0</v>
      </c>
      <c r="AF24" s="1">
        <f>'商品Database(Key保障內容）'!AF24/'商品Database(Key保障內容）'!$B24</f>
        <v>0</v>
      </c>
      <c r="AG24" s="1">
        <f>'商品Database(Key保障內容）'!AG24/'商品Database(Key保障內容）'!$B24</f>
        <v>0</v>
      </c>
      <c r="AH24" s="1">
        <f>'商品Database(Key保障內容）'!AH24/'商品Database(Key保障內容）'!$B24</f>
        <v>0</v>
      </c>
      <c r="AI24" s="1">
        <f>'商品Database(Key保障內容）'!AI24/'商品Database(Key保障內容）'!$B24</f>
        <v>0</v>
      </c>
      <c r="AJ24" s="1">
        <f>'商品Database(Key保障內容）'!AJ24/'商品Database(Key保障內容）'!$B24</f>
        <v>0</v>
      </c>
      <c r="AK24" s="1">
        <f>'商品Database(Key保障內容）'!AK24/'商品Database(Key保障內容）'!$B24</f>
        <v>0</v>
      </c>
      <c r="AL24" s="1">
        <f>'商品Database(Key保障內容）'!AL24/'商品Database(Key保障內容）'!$B24</f>
        <v>0</v>
      </c>
      <c r="AM24" s="1">
        <f>'商品Database(Key保障內容）'!AM24/'商品Database(Key保障內容）'!$B24</f>
        <v>0</v>
      </c>
      <c r="AN24" s="1">
        <f>'商品Database(Key保障內容）'!AN24/'商品Database(Key保障內容）'!$B24</f>
        <v>0</v>
      </c>
    </row>
    <row r="25" spans="1:40">
      <c r="A25" s="16" t="str">
        <f>'商品Database(Key保障內容）'!A25</f>
        <v>LEGOWA</v>
      </c>
      <c r="B25" s="1">
        <v>100000</v>
      </c>
      <c r="C25" s="1">
        <f>'商品Database(Key保障內容）'!C25/'商品Database(Key保障內容）'!$B25</f>
        <v>0</v>
      </c>
      <c r="D25" s="1">
        <f>'商品Database(Key保障內容）'!D25/'商品Database(Key保障內容）'!$B25</f>
        <v>0</v>
      </c>
      <c r="E25" s="1">
        <f>'商品Database(Key保障內容）'!E25/'商品Database(Key保障內容）'!$B25</f>
        <v>0</v>
      </c>
      <c r="F25" s="1">
        <f>'商品Database(Key保障內容）'!F25/'商品Database(Key保障內容）'!$B25</f>
        <v>0</v>
      </c>
      <c r="G25" s="1">
        <f>'商品Database(Key保障內容）'!G25/'商品Database(Key保障內容）'!$B25</f>
        <v>0</v>
      </c>
      <c r="H25" s="1">
        <f>'商品Database(Key保障內容）'!H25/'商品Database(Key保障內容）'!$B25</f>
        <v>0</v>
      </c>
      <c r="I25" s="1">
        <f>'商品Database(Key保障內容）'!I25/'商品Database(Key保障內容）'!$B25</f>
        <v>0</v>
      </c>
      <c r="J25" s="1">
        <f>'商品Database(Key保障內容）'!J25/'商品Database(Key保障內容）'!$B25</f>
        <v>0</v>
      </c>
      <c r="K25" s="1">
        <f>'商品Database(Key保障內容）'!K25/'商品Database(Key保障內容）'!$B25</f>
        <v>0</v>
      </c>
      <c r="L25" s="1">
        <f>'商品Database(Key保障內容）'!L25/'商品Database(Key保障內容）'!$B25</f>
        <v>0</v>
      </c>
      <c r="M25" s="1">
        <f>'商品Database(Key保障內容）'!M25/'商品Database(Key保障內容）'!$B25</f>
        <v>0</v>
      </c>
      <c r="N25" s="1">
        <f>'商品Database(Key保障內容）'!N25/'商品Database(Key保障內容）'!$B25</f>
        <v>0</v>
      </c>
      <c r="O25" s="1">
        <f>'商品Database(Key保障內容）'!O25/'商品Database(Key保障內容）'!$B25</f>
        <v>0</v>
      </c>
      <c r="P25" s="1">
        <f>'商品Database(Key保障內容）'!P25/'商品Database(Key保障內容）'!$B25</f>
        <v>0</v>
      </c>
      <c r="Q25" s="1">
        <f>'商品Database(Key保障內容）'!Q25/'商品Database(Key保障內容）'!$B25</f>
        <v>0</v>
      </c>
      <c r="R25" s="1">
        <f>'商品Database(Key保障內容）'!R25/'商品Database(Key保障內容）'!$B25</f>
        <v>0</v>
      </c>
      <c r="S25" s="1">
        <f>'商品Database(Key保障內容）'!S25/'商品Database(Key保障內容）'!$B25</f>
        <v>0</v>
      </c>
      <c r="T25" s="1">
        <f>'商品Database(Key保障內容）'!T25/'商品Database(Key保障內容）'!$B25</f>
        <v>1</v>
      </c>
      <c r="U25" s="1">
        <f>'商品Database(Key保障內容）'!U25/'商品Database(Key保障內容）'!$B25</f>
        <v>0</v>
      </c>
      <c r="V25" s="1">
        <f>'商品Database(Key保障內容）'!V25/'商品Database(Key保障內容）'!$B25</f>
        <v>0</v>
      </c>
      <c r="W25" s="1">
        <f>'商品Database(Key保障內容）'!W25/'商品Database(Key保障內容）'!$B25</f>
        <v>0</v>
      </c>
      <c r="X25" s="1">
        <f>'商品Database(Key保障內容）'!X25/'商品Database(Key保障內容）'!$B25</f>
        <v>0</v>
      </c>
      <c r="Y25" s="1">
        <f>'商品Database(Key保障內容）'!Y25/'商品Database(Key保障內容）'!$B25</f>
        <v>0</v>
      </c>
      <c r="Z25" s="1">
        <f>'商品Database(Key保障內容）'!Z25/'商品Database(Key保障內容）'!$B25</f>
        <v>0</v>
      </c>
      <c r="AA25" s="1">
        <f>'商品Database(Key保障內容）'!AA25/'商品Database(Key保障內容）'!$B25</f>
        <v>0</v>
      </c>
      <c r="AB25" s="1">
        <f>'商品Database(Key保障內容）'!AB25/'商品Database(Key保障內容）'!$B25</f>
        <v>1</v>
      </c>
      <c r="AC25" s="1">
        <f>'商品Database(Key保障內容）'!AC25/'商品Database(Key保障內容）'!$B25</f>
        <v>0</v>
      </c>
      <c r="AD25" s="1">
        <f>'商品Database(Key保障內容）'!AD25/'商品Database(Key保障內容）'!$B25</f>
        <v>0</v>
      </c>
      <c r="AE25" s="1">
        <f>'商品Database(Key保障內容）'!AE25/'商品Database(Key保障內容）'!$B25</f>
        <v>0</v>
      </c>
      <c r="AF25" s="1">
        <f>'商品Database(Key保障內容）'!AF25/'商品Database(Key保障內容）'!$B25</f>
        <v>0</v>
      </c>
      <c r="AG25" s="1">
        <f>'商品Database(Key保障內容）'!AG25/'商品Database(Key保障內容）'!$B25</f>
        <v>0</v>
      </c>
      <c r="AH25" s="1">
        <f>'商品Database(Key保障內容）'!AH25/'商品Database(Key保障內容）'!$B25</f>
        <v>0</v>
      </c>
      <c r="AI25" s="1">
        <f>'商品Database(Key保障內容）'!AI25/'商品Database(Key保障內容）'!$B25</f>
        <v>0</v>
      </c>
      <c r="AJ25" s="1">
        <f>'商品Database(Key保障內容）'!AJ25/'商品Database(Key保障內容）'!$B25</f>
        <v>0</v>
      </c>
      <c r="AK25" s="1">
        <f>'商品Database(Key保障內容）'!AK25/'商品Database(Key保障內容）'!$B25</f>
        <v>0</v>
      </c>
      <c r="AL25" s="1">
        <f>'商品Database(Key保障內容）'!AL25/'商品Database(Key保障內容）'!$B25</f>
        <v>0</v>
      </c>
      <c r="AM25" s="1">
        <f>'商品Database(Key保障內容）'!AM25/'商品Database(Key保障內容）'!$B25</f>
        <v>0</v>
      </c>
      <c r="AN25" s="1">
        <f>'商品Database(Key保障內容）'!AN25/'商品Database(Key保障內容）'!$B25</f>
        <v>0</v>
      </c>
    </row>
    <row r="26" spans="1:40">
      <c r="A26" s="16" t="str">
        <f>'商品Database(Key保障內容）'!A26</f>
        <v>MAJIAA</v>
      </c>
      <c r="B26" s="1">
        <v>100000</v>
      </c>
      <c r="C26" s="1">
        <f>'商品Database(Key保障內容）'!C26/'商品Database(Key保障內容）'!$B26</f>
        <v>0</v>
      </c>
      <c r="D26" s="1">
        <f>'商品Database(Key保障內容）'!D26/'商品Database(Key保障內容）'!$B26</f>
        <v>0</v>
      </c>
      <c r="E26" s="1">
        <f>'商品Database(Key保障內容）'!E26/'商品Database(Key保障內容）'!$B26</f>
        <v>0</v>
      </c>
      <c r="F26" s="1">
        <f>'商品Database(Key保障內容）'!F26/'商品Database(Key保障內容）'!$B26</f>
        <v>0</v>
      </c>
      <c r="G26" s="1">
        <f>'商品Database(Key保障內容）'!G26/'商品Database(Key保障內容）'!$B26</f>
        <v>0</v>
      </c>
      <c r="H26" s="1">
        <f>'商品Database(Key保障內容）'!H26/'商品Database(Key保障內容）'!$B26</f>
        <v>0</v>
      </c>
      <c r="I26" s="1">
        <f>'商品Database(Key保障內容）'!I26/'商品Database(Key保障內容）'!$B26</f>
        <v>0</v>
      </c>
      <c r="J26" s="1">
        <f>'商品Database(Key保障內容）'!J26/'商品Database(Key保障內容）'!$B26</f>
        <v>0</v>
      </c>
      <c r="K26" s="1">
        <f>'商品Database(Key保障內容）'!K26/'商品Database(Key保障內容）'!$B26</f>
        <v>0</v>
      </c>
      <c r="L26" s="1">
        <f>'商品Database(Key保障內容）'!L26/'商品Database(Key保障內容）'!$B26</f>
        <v>0</v>
      </c>
      <c r="M26" s="1">
        <f>'商品Database(Key保障內容）'!M26/'商品Database(Key保障內容）'!$B26</f>
        <v>0</v>
      </c>
      <c r="N26" s="1">
        <f>'商品Database(Key保障內容）'!N26/'商品Database(Key保障內容）'!$B26</f>
        <v>0</v>
      </c>
      <c r="O26" s="1">
        <f>'商品Database(Key保障內容）'!O26/'商品Database(Key保障內容）'!$B26</f>
        <v>0</v>
      </c>
      <c r="P26" s="1">
        <f>'商品Database(Key保障內容）'!P26/'商品Database(Key保障內容）'!$B26</f>
        <v>0</v>
      </c>
      <c r="Q26" s="1">
        <f>'商品Database(Key保障內容）'!Q26/'商品Database(Key保障內容）'!$B26</f>
        <v>0</v>
      </c>
      <c r="R26" s="1">
        <f>'商品Database(Key保障內容）'!R26/'商品Database(Key保障內容）'!$B26</f>
        <v>0</v>
      </c>
      <c r="S26" s="1">
        <f>'商品Database(Key保障內容）'!S26/'商品Database(Key保障內容）'!$B26</f>
        <v>0</v>
      </c>
      <c r="T26" s="1">
        <f>'商品Database(Key保障內容）'!T26/'商品Database(Key保障內容）'!$B26</f>
        <v>1</v>
      </c>
      <c r="U26" s="1">
        <f>'商品Database(Key保障內容）'!U26/'商品Database(Key保障內容）'!$B26</f>
        <v>0</v>
      </c>
      <c r="V26" s="1">
        <f>'商品Database(Key保障內容）'!V26/'商品Database(Key保障內容）'!$B26</f>
        <v>0</v>
      </c>
      <c r="W26" s="1">
        <f>'商品Database(Key保障內容）'!W26/'商品Database(Key保障內容）'!$B26</f>
        <v>0</v>
      </c>
      <c r="X26" s="1">
        <f>'商品Database(Key保障內容）'!X26/'商品Database(Key保障內容）'!$B26</f>
        <v>0</v>
      </c>
      <c r="Y26" s="1">
        <f>'商品Database(Key保障內容）'!Y26/'商品Database(Key保障內容）'!$B26</f>
        <v>0</v>
      </c>
      <c r="Z26" s="1">
        <f>'商品Database(Key保障內容）'!Z26/'商品Database(Key保障內容）'!$B26</f>
        <v>0</v>
      </c>
      <c r="AA26" s="1">
        <f>'商品Database(Key保障內容）'!AA26/'商品Database(Key保障內容）'!$B26</f>
        <v>0</v>
      </c>
      <c r="AB26" s="1">
        <f>'商品Database(Key保障內容）'!AB26/'商品Database(Key保障內容）'!$B26</f>
        <v>1</v>
      </c>
      <c r="AC26" s="1">
        <f>'商品Database(Key保障內容）'!AC26/'商品Database(Key保障內容）'!$B26</f>
        <v>0</v>
      </c>
      <c r="AD26" s="1">
        <f>'商品Database(Key保障內容）'!AD26/'商品Database(Key保障內容）'!$B26</f>
        <v>0</v>
      </c>
      <c r="AE26" s="1">
        <f>'商品Database(Key保障內容）'!AE26/'商品Database(Key保障內容）'!$B26</f>
        <v>0</v>
      </c>
      <c r="AF26" s="1">
        <f>'商品Database(Key保障內容）'!AF26/'商品Database(Key保障內容）'!$B26</f>
        <v>0</v>
      </c>
      <c r="AG26" s="1">
        <f>'商品Database(Key保障內容）'!AG26/'商品Database(Key保障內容）'!$B26</f>
        <v>0</v>
      </c>
      <c r="AH26" s="1">
        <f>'商品Database(Key保障內容）'!AH26/'商品Database(Key保障內容）'!$B26</f>
        <v>0</v>
      </c>
      <c r="AI26" s="1">
        <f>'商品Database(Key保障內容）'!AI26/'商品Database(Key保障內容）'!$B26</f>
        <v>0</v>
      </c>
      <c r="AJ26" s="1">
        <f>'商品Database(Key保障內容）'!AJ26/'商品Database(Key保障內容）'!$B26</f>
        <v>0</v>
      </c>
      <c r="AK26" s="1">
        <f>'商品Database(Key保障內容）'!AK26/'商品Database(Key保障內容）'!$B26</f>
        <v>0</v>
      </c>
      <c r="AL26" s="1">
        <f>'商品Database(Key保障內容）'!AL26/'商品Database(Key保障內容）'!$B26</f>
        <v>0</v>
      </c>
      <c r="AM26" s="1">
        <f>'商品Database(Key保障內容）'!AM26/'商品Database(Key保障內容）'!$B26</f>
        <v>0</v>
      </c>
      <c r="AN26" s="1">
        <f>'商品Database(Key保障內容）'!AN26/'商品Database(Key保障內容）'!$B26</f>
        <v>0</v>
      </c>
    </row>
    <row r="27" spans="1:40">
      <c r="A27" s="16" t="str">
        <f>'商品Database(Key保障內容）'!A27</f>
        <v>LEGOXB</v>
      </c>
      <c r="B27" s="1">
        <v>10000</v>
      </c>
      <c r="C27" s="1">
        <f>'商品Database(Key保障內容）'!C27/'商品Database(Key保障內容）'!$B27</f>
        <v>0</v>
      </c>
      <c r="D27" s="1">
        <f>'商品Database(Key保障內容）'!D27/'商品Database(Key保障內容）'!$B27</f>
        <v>0</v>
      </c>
      <c r="E27" s="1">
        <f>'商品Database(Key保障內容）'!E27/'商品Database(Key保障內容）'!$B27</f>
        <v>0</v>
      </c>
      <c r="F27" s="1">
        <f>'商品Database(Key保障內容）'!F27/'商品Database(Key保障內容）'!$B27</f>
        <v>0</v>
      </c>
      <c r="G27" s="1">
        <f>'商品Database(Key保障內容）'!G27/'商品Database(Key保障內容）'!$B27</f>
        <v>0</v>
      </c>
      <c r="H27" s="1">
        <f>'商品Database(Key保障內容）'!H27/'商品Database(Key保障內容）'!$B27</f>
        <v>0</v>
      </c>
      <c r="I27" s="1">
        <f>'商品Database(Key保障內容）'!I27/'商品Database(Key保障內容）'!$B27</f>
        <v>0</v>
      </c>
      <c r="J27" s="1">
        <f>'商品Database(Key保障內容）'!J27/'商品Database(Key保障內容）'!$B27</f>
        <v>0</v>
      </c>
      <c r="K27" s="1">
        <f>'商品Database(Key保障內容）'!K27/'商品Database(Key保障內容）'!$B27</f>
        <v>0</v>
      </c>
      <c r="L27" s="1">
        <f>'商品Database(Key保障內容）'!L27/'商品Database(Key保障內容）'!$B27</f>
        <v>0</v>
      </c>
      <c r="M27" s="1">
        <f>'商品Database(Key保障內容）'!M27/'商品Database(Key保障內容）'!$B27</f>
        <v>0</v>
      </c>
      <c r="N27" s="1">
        <f>'商品Database(Key保障內容）'!N27/'商品Database(Key保障內容）'!$B27</f>
        <v>0</v>
      </c>
      <c r="O27" s="1">
        <f>'商品Database(Key保障內容）'!O27/'商品Database(Key保障內容）'!$B27</f>
        <v>0</v>
      </c>
      <c r="P27" s="1">
        <f>'商品Database(Key保障內容）'!P27/'商品Database(Key保障內容）'!$B27</f>
        <v>0</v>
      </c>
      <c r="Q27" s="1">
        <f>'商品Database(Key保障內容）'!Q27/'商品Database(Key保障內容）'!$B27</f>
        <v>0</v>
      </c>
      <c r="R27" s="1">
        <f>'商品Database(Key保障內容）'!R27/'商品Database(Key保障內容）'!$B27</f>
        <v>0</v>
      </c>
      <c r="S27" s="1">
        <f>'商品Database(Key保障內容）'!S27/'商品Database(Key保障內容）'!$B27</f>
        <v>0</v>
      </c>
      <c r="T27" s="1">
        <f>'商品Database(Key保障內容）'!T27/'商品Database(Key保障內容）'!$B27</f>
        <v>0</v>
      </c>
      <c r="U27" s="1">
        <f>'商品Database(Key保障內容）'!U27/'商品Database(Key保障內容）'!$B27</f>
        <v>0</v>
      </c>
      <c r="V27" s="1">
        <f>'商品Database(Key保障內容）'!V27/'商品Database(Key保障內容）'!$B27</f>
        <v>0</v>
      </c>
      <c r="W27" s="1">
        <f>'商品Database(Key保障內容）'!W27/'商品Database(Key保障內容）'!$B27</f>
        <v>0</v>
      </c>
      <c r="X27" s="1">
        <f>'商品Database(Key保障內容）'!X27/'商品Database(Key保障內容）'!$B27</f>
        <v>0</v>
      </c>
      <c r="Y27" s="1">
        <f>'商品Database(Key保障內容）'!Y27/'商品Database(Key保障內容）'!$B27</f>
        <v>0</v>
      </c>
      <c r="Z27" s="1">
        <f>'商品Database(Key保障內容）'!Z27/'商品Database(Key保障內容）'!$B27</f>
        <v>0</v>
      </c>
      <c r="AA27" s="1">
        <f>'商品Database(Key保障內容）'!AA27/'商品Database(Key保障內容）'!$B27</f>
        <v>0</v>
      </c>
      <c r="AB27" s="1">
        <f>'商品Database(Key保障內容）'!AB27/'商品Database(Key保障內容）'!$B27</f>
        <v>0</v>
      </c>
      <c r="AC27" s="1">
        <f>'商品Database(Key保障內容）'!AC27/'商品Database(Key保障內容）'!$B27</f>
        <v>25</v>
      </c>
      <c r="AD27" s="1">
        <f>'商品Database(Key保障內容）'!AD27/'商品Database(Key保障內容）'!$B27</f>
        <v>50</v>
      </c>
      <c r="AE27" s="1">
        <f>'商品Database(Key保障內容）'!AE27/'商品Database(Key保障內容）'!$B27</f>
        <v>0</v>
      </c>
      <c r="AF27" s="1">
        <f>'商品Database(Key保障內容）'!AF27/'商品Database(Key保障內容）'!$B27</f>
        <v>0</v>
      </c>
      <c r="AG27" s="1">
        <f>'商品Database(Key保障內容）'!AG27/'商品Database(Key保障內容）'!$B27</f>
        <v>0</v>
      </c>
      <c r="AH27" s="1">
        <f>'商品Database(Key保障內容）'!AH27/'商品Database(Key保障內容）'!$B27</f>
        <v>0</v>
      </c>
      <c r="AI27" s="1">
        <f>'商品Database(Key保障內容）'!AI27/'商品Database(Key保障內容）'!$B27</f>
        <v>1</v>
      </c>
      <c r="AJ27" s="1">
        <f>'商品Database(Key保障內容）'!AJ27/'商品Database(Key保障內容）'!$B27</f>
        <v>1.5</v>
      </c>
      <c r="AK27" s="1">
        <f>'商品Database(Key保障內容）'!AK27/'商品Database(Key保障內容）'!$B27</f>
        <v>1</v>
      </c>
      <c r="AL27" s="1">
        <f>'商品Database(Key保障內容）'!AL27/'商品Database(Key保障內容）'!$B27</f>
        <v>1.5</v>
      </c>
      <c r="AM27" s="1">
        <f>'商品Database(Key保障內容）'!AM27/'商品Database(Key保障內容）'!$B27</f>
        <v>0</v>
      </c>
      <c r="AN27" s="1">
        <f>'商品Database(Key保障內容）'!AN27/'商品Database(Key保障內容）'!$B27</f>
        <v>0</v>
      </c>
    </row>
    <row r="28" spans="1:40">
      <c r="A28" s="16" t="str">
        <f>'商品Database(Key保障內容）'!A28</f>
        <v>JOEBBC</v>
      </c>
      <c r="B28" s="1">
        <v>1</v>
      </c>
      <c r="C28" s="1">
        <f>'商品Database(Key保障內容）'!C28/'商品Database(Key保障內容）'!$B28</f>
        <v>0</v>
      </c>
      <c r="D28" s="1">
        <f>'商品Database(Key保障內容）'!D28/'商品Database(Key保障內容）'!$B28</f>
        <v>0</v>
      </c>
      <c r="E28" s="1">
        <f>'商品Database(Key保障內容）'!E28/'商品Database(Key保障內容）'!$B28</f>
        <v>0</v>
      </c>
      <c r="F28" s="1">
        <f>'商品Database(Key保障內容）'!F28/'商品Database(Key保障內容）'!$B28</f>
        <v>0</v>
      </c>
      <c r="G28" s="1">
        <f>'商品Database(Key保障內容）'!G28/'商品Database(Key保障內容）'!$B28</f>
        <v>0</v>
      </c>
      <c r="H28" s="1">
        <f>'商品Database(Key保障內容）'!H28/'商品Database(Key保障內容）'!$B28</f>
        <v>0</v>
      </c>
      <c r="I28" s="1">
        <f>'商品Database(Key保障內容）'!I28/'商品Database(Key保障內容）'!$B28</f>
        <v>0</v>
      </c>
      <c r="J28" s="1">
        <f>'商品Database(Key保障內容）'!J28/'商品Database(Key保障內容）'!$B28</f>
        <v>0</v>
      </c>
      <c r="K28" s="1">
        <f>'商品Database(Key保障內容）'!K28/'商品Database(Key保障內容）'!$B28</f>
        <v>0</v>
      </c>
      <c r="L28" s="1">
        <f>'商品Database(Key保障內容）'!L28/'商品Database(Key保障內容）'!$B28</f>
        <v>0</v>
      </c>
      <c r="M28" s="1">
        <f>'商品Database(Key保障內容）'!M28/'商品Database(Key保障內容）'!$B28</f>
        <v>0</v>
      </c>
      <c r="N28" s="1">
        <f>'商品Database(Key保障內容）'!N28/'商品Database(Key保障內容）'!$B28</f>
        <v>0</v>
      </c>
      <c r="O28" s="1">
        <f>'商品Database(Key保障內容）'!O28/'商品Database(Key保障內容）'!$B28</f>
        <v>0</v>
      </c>
      <c r="P28" s="1">
        <f>'商品Database(Key保障內容）'!P28/'商品Database(Key保障內容）'!$B28</f>
        <v>0</v>
      </c>
      <c r="Q28" s="1">
        <f>'商品Database(Key保障內容）'!Q28/'商品Database(Key保障內容）'!$B28</f>
        <v>0</v>
      </c>
      <c r="R28" s="1">
        <f>'商品Database(Key保障內容）'!R28/'商品Database(Key保障內容）'!$B28</f>
        <v>0</v>
      </c>
      <c r="S28" s="1">
        <f>'商品Database(Key保障內容）'!S28/'商品Database(Key保障內容）'!$B28</f>
        <v>0</v>
      </c>
      <c r="T28" s="1">
        <f>'商品Database(Key保障內容）'!T28/'商品Database(Key保障內容）'!$B28</f>
        <v>0</v>
      </c>
      <c r="U28" s="1">
        <f>'商品Database(Key保障內容）'!U28/'商品Database(Key保障內容）'!$B28</f>
        <v>0</v>
      </c>
      <c r="V28" s="1">
        <f>'商品Database(Key保障內容）'!V28/'商品Database(Key保障內容）'!$B28</f>
        <v>0</v>
      </c>
      <c r="W28" s="1">
        <f>'商品Database(Key保障內容）'!W28/'商品Database(Key保障內容）'!$B28</f>
        <v>0</v>
      </c>
      <c r="X28" s="1">
        <f>'商品Database(Key保障內容）'!X28/'商品Database(Key保障內容）'!$B28</f>
        <v>0</v>
      </c>
      <c r="Y28" s="1">
        <f>'商品Database(Key保障內容）'!Y28/'商品Database(Key保障內容）'!$B28</f>
        <v>0</v>
      </c>
      <c r="Z28" s="1">
        <f>'商品Database(Key保障內容）'!Z28/'商品Database(Key保障內容）'!$B28</f>
        <v>0</v>
      </c>
      <c r="AA28" s="1">
        <f>'商品Database(Key保障內容）'!AA28/'商品Database(Key保障內容）'!$B28</f>
        <v>0</v>
      </c>
      <c r="AB28" s="1">
        <f>'商品Database(Key保障內容）'!AB28/'商品Database(Key保障內容）'!$B28</f>
        <v>0</v>
      </c>
      <c r="AC28" s="1">
        <f>'商品Database(Key保障內容）'!AC28/'商品Database(Key保障內容）'!$B28</f>
        <v>12</v>
      </c>
      <c r="AD28" s="1">
        <f>'商品Database(Key保障內容）'!AD28/'商品Database(Key保障內容）'!$B28</f>
        <v>24</v>
      </c>
      <c r="AE28" s="1">
        <f>'商品Database(Key保障內容）'!AE28/'商品Database(Key保障內容）'!$B28</f>
        <v>0</v>
      </c>
      <c r="AF28" s="1">
        <f>'商品Database(Key保障內容）'!AF28/'商品Database(Key保障內容）'!$B28</f>
        <v>0</v>
      </c>
      <c r="AG28" s="1">
        <f>'商品Database(Key保障內容）'!AG28/'商品Database(Key保障內容）'!$B28</f>
        <v>0</v>
      </c>
      <c r="AH28" s="1">
        <f>'商品Database(Key保障內容）'!AH28/'商品Database(Key保障內容）'!$B28</f>
        <v>0</v>
      </c>
      <c r="AI28" s="1">
        <f>'商品Database(Key保障內容）'!AI28/'商品Database(Key保障內容）'!$B28</f>
        <v>1</v>
      </c>
      <c r="AJ28" s="1">
        <f>'商品Database(Key保障內容）'!AJ28/'商品Database(Key保障內容）'!$B28</f>
        <v>2</v>
      </c>
      <c r="AK28" s="1">
        <f>'商品Database(Key保障內容）'!AK28/'商品Database(Key保障內容）'!$B28</f>
        <v>1</v>
      </c>
      <c r="AL28" s="1">
        <f>'商品Database(Key保障內容）'!AL28/'商品Database(Key保障內容）'!$B28</f>
        <v>2</v>
      </c>
      <c r="AM28" s="1">
        <f>'商品Database(Key保障內容）'!AM28/'商品Database(Key保障內容）'!$B28</f>
        <v>0</v>
      </c>
      <c r="AN28" s="1">
        <f>'商品Database(Key保障內容）'!AN28/'商品Database(Key保障內容）'!$B28</f>
        <v>0</v>
      </c>
    </row>
    <row r="29" spans="1:40">
      <c r="A29" s="16" t="str">
        <f>'商品Database(Key保障內容）'!A29</f>
        <v>MAJIQA</v>
      </c>
      <c r="B29" s="1">
        <v>1</v>
      </c>
      <c r="C29" s="1">
        <f>'商品Database(Key保障內容）'!C29/'商品Database(Key保障內容）'!$B29</f>
        <v>0</v>
      </c>
      <c r="D29" s="1">
        <f>'商品Database(Key保障內容）'!D29/'商品Database(Key保障內容）'!$B29</f>
        <v>0</v>
      </c>
      <c r="E29" s="1">
        <f>'商品Database(Key保障內容）'!E29/'商品Database(Key保障內容）'!$B29</f>
        <v>0</v>
      </c>
      <c r="F29" s="1">
        <f>'商品Database(Key保障內容）'!F29/'商品Database(Key保障內容）'!$B29</f>
        <v>0</v>
      </c>
      <c r="G29" s="1">
        <f>'商品Database(Key保障內容）'!G29/'商品Database(Key保障內容）'!$B29</f>
        <v>0</v>
      </c>
      <c r="H29" s="1">
        <f>'商品Database(Key保障內容）'!H29/'商品Database(Key保障內容）'!$B29</f>
        <v>0</v>
      </c>
      <c r="I29" s="1">
        <f>'商品Database(Key保障內容）'!I29/'商品Database(Key保障內容）'!$B29</f>
        <v>0</v>
      </c>
      <c r="J29" s="1">
        <f>'商品Database(Key保障內容）'!J29/'商品Database(Key保障內容）'!$B29</f>
        <v>0</v>
      </c>
      <c r="K29" s="1">
        <f>'商品Database(Key保障內容）'!K29/'商品Database(Key保障內容）'!$B29</f>
        <v>0</v>
      </c>
      <c r="L29" s="1">
        <f>'商品Database(Key保障內容）'!L29/'商品Database(Key保障內容）'!$B29</f>
        <v>0</v>
      </c>
      <c r="M29" s="1">
        <f>'商品Database(Key保障內容）'!M29/'商品Database(Key保障內容）'!$B29</f>
        <v>0</v>
      </c>
      <c r="N29" s="1">
        <f>'商品Database(Key保障內容）'!N29/'商品Database(Key保障內容）'!$B29</f>
        <v>0</v>
      </c>
      <c r="O29" s="1">
        <f>'商品Database(Key保障內容）'!O29/'商品Database(Key保障內容）'!$B29</f>
        <v>0</v>
      </c>
      <c r="P29" s="1">
        <f>'商品Database(Key保障內容）'!P29/'商品Database(Key保障內容）'!$B29</f>
        <v>0</v>
      </c>
      <c r="Q29" s="1">
        <f>'商品Database(Key保障內容）'!Q29/'商品Database(Key保障內容）'!$B29</f>
        <v>0</v>
      </c>
      <c r="R29" s="1">
        <f>'商品Database(Key保障內容）'!R29/'商品Database(Key保障內容）'!$B29</f>
        <v>0</v>
      </c>
      <c r="S29" s="1">
        <f>'商品Database(Key保障內容）'!S29/'商品Database(Key保障內容）'!$B29</f>
        <v>0</v>
      </c>
      <c r="T29" s="1">
        <f>'商品Database(Key保障內容）'!T29/'商品Database(Key保障內容）'!$B29</f>
        <v>0</v>
      </c>
      <c r="U29" s="1">
        <f>'商品Database(Key保障內容）'!U29/'商品Database(Key保障內容）'!$B29</f>
        <v>0</v>
      </c>
      <c r="V29" s="1">
        <f>'商品Database(Key保障內容）'!V29/'商品Database(Key保障內容）'!$B29</f>
        <v>750</v>
      </c>
      <c r="W29" s="1">
        <f>'商品Database(Key保障內容）'!W29/'商品Database(Key保障內容）'!$B29</f>
        <v>750</v>
      </c>
      <c r="X29" s="1">
        <f>'商品Database(Key保障內容）'!X29/'商品Database(Key保障內容）'!$B29</f>
        <v>7500</v>
      </c>
      <c r="Y29" s="1">
        <f>'商品Database(Key保障內容）'!Y29/'商品Database(Key保障內容）'!$B29</f>
        <v>250</v>
      </c>
      <c r="Z29" s="1">
        <f>'商品Database(Key保障內容）'!Z29/'商品Database(Key保障內容）'!$B29</f>
        <v>250</v>
      </c>
      <c r="AA29" s="1">
        <f>'商品Database(Key保障內容）'!AA29/'商品Database(Key保障內容）'!$B29</f>
        <v>25000</v>
      </c>
      <c r="AB29" s="1">
        <f>'商品Database(Key保障內容）'!AB29/'商品Database(Key保障內容）'!$B29</f>
        <v>0</v>
      </c>
      <c r="AC29" s="1">
        <f>'商品Database(Key保障內容）'!AC29/'商品Database(Key保障內容）'!$B29</f>
        <v>0</v>
      </c>
      <c r="AD29" s="1">
        <f>'商品Database(Key保障內容）'!AD29/'商品Database(Key保障內容）'!$B29</f>
        <v>0</v>
      </c>
      <c r="AE29" s="1">
        <f>'商品Database(Key保障內容）'!AE29/'商品Database(Key保障內容）'!$B29</f>
        <v>0</v>
      </c>
      <c r="AF29" s="1">
        <f>'商品Database(Key保障內容）'!AF29/'商品Database(Key保障內容）'!$B29</f>
        <v>0</v>
      </c>
      <c r="AG29" s="1">
        <f>'商品Database(Key保障內容）'!AG29/'商品Database(Key保障內容）'!$B29</f>
        <v>0</v>
      </c>
      <c r="AH29" s="1">
        <f>'商品Database(Key保障內容）'!AH29/'商品Database(Key保障內容）'!$B29</f>
        <v>0</v>
      </c>
      <c r="AI29" s="1">
        <f>'商品Database(Key保障內容）'!AI29/'商品Database(Key保障內容）'!$B29</f>
        <v>0</v>
      </c>
      <c r="AJ29" s="1">
        <f>'商品Database(Key保障內容）'!AJ29/'商品Database(Key保障內容）'!$B29</f>
        <v>0</v>
      </c>
      <c r="AK29" s="1">
        <f>'商品Database(Key保障內容）'!AK29/'商品Database(Key保障內容）'!$B29</f>
        <v>0</v>
      </c>
      <c r="AL29" s="1">
        <f>'商品Database(Key保障內容）'!AL29/'商品Database(Key保障內容）'!$B29</f>
        <v>0</v>
      </c>
      <c r="AM29" s="1">
        <f>'商品Database(Key保障內容）'!AM29/'商品Database(Key保障內容）'!$B29</f>
        <v>0</v>
      </c>
      <c r="AN29" s="1">
        <f>'商品Database(Key保障內容）'!AN29/'商品Database(Key保障內容）'!$B29</f>
        <v>0</v>
      </c>
    </row>
    <row r="30" spans="1:40">
      <c r="A30" s="16" t="str">
        <f>'商品Database(Key保障內容）'!A30</f>
        <v>GNHRL</v>
      </c>
      <c r="B30" s="1">
        <v>5</v>
      </c>
      <c r="C30" s="1">
        <f>'商品Database(Key保障內容）'!C30/'商品Database(Key保障內容）'!$B30</f>
        <v>100</v>
      </c>
      <c r="D30" s="1">
        <f>'商品Database(Key保障內容）'!D30/'商品Database(Key保障內容）'!$B30</f>
        <v>300</v>
      </c>
      <c r="E30" s="1">
        <f>'商品Database(Key保障內容）'!E30/'商品Database(Key保障內容）'!$B30</f>
        <v>1000</v>
      </c>
      <c r="F30" s="1">
        <f>'商品Database(Key保障內容）'!F30/'商品Database(Key保障內容）'!$B30</f>
        <v>0</v>
      </c>
      <c r="G30" s="1">
        <f>'商品Database(Key保障內容）'!G30/'商品Database(Key保障內容）'!$B30</f>
        <v>500</v>
      </c>
      <c r="H30" s="1">
        <f>'商品Database(Key保障內容）'!H30/'商品Database(Key保障內容）'!$B30</f>
        <v>300</v>
      </c>
      <c r="I30" s="1">
        <f>'商品Database(Key保障內容）'!I30/'商品Database(Key保障內容）'!$B30</f>
        <v>0</v>
      </c>
      <c r="J30" s="1">
        <f>'商品Database(Key保障內容）'!J30/'商品Database(Key保障內容）'!$B30</f>
        <v>0</v>
      </c>
      <c r="K30" s="1">
        <f>'商品Database(Key保障內容）'!K30/'商品Database(Key保障內容）'!$B30</f>
        <v>0</v>
      </c>
      <c r="L30" s="1">
        <f>'商品Database(Key保障內容）'!L30/'商品Database(Key保障內容）'!$B30</f>
        <v>0</v>
      </c>
      <c r="M30" s="1">
        <f>'商品Database(Key保障內容）'!M30/'商品Database(Key保障內容）'!$B30</f>
        <v>0</v>
      </c>
      <c r="N30" s="1">
        <f>'商品Database(Key保障內容）'!N30/'商品Database(Key保障內容）'!$B30</f>
        <v>0</v>
      </c>
      <c r="O30" s="1">
        <f>'商品Database(Key保障內容）'!O30/'商品Database(Key保障內容）'!$B30</f>
        <v>0</v>
      </c>
      <c r="P30" s="1">
        <f>'商品Database(Key保障內容）'!P30/'商品Database(Key保障內容）'!$B30</f>
        <v>0</v>
      </c>
      <c r="Q30" s="1">
        <f>'商品Database(Key保障內容）'!Q30/'商品Database(Key保障內容）'!$B30</f>
        <v>0</v>
      </c>
      <c r="R30" s="1">
        <f>'商品Database(Key保障內容）'!R30/'商品Database(Key保障內容）'!$B30</f>
        <v>0</v>
      </c>
      <c r="S30" s="1">
        <f>'商品Database(Key保障內容）'!S30/'商品Database(Key保障內容）'!$B30</f>
        <v>0</v>
      </c>
      <c r="T30" s="1">
        <f>'商品Database(Key保障內容）'!T30/'商品Database(Key保障內容）'!$B30</f>
        <v>0</v>
      </c>
      <c r="U30" s="1">
        <f>'商品Database(Key保障內容）'!U30/'商品Database(Key保障內容）'!$B30</f>
        <v>0</v>
      </c>
      <c r="V30" s="1">
        <f>'商品Database(Key保障內容）'!V30/'商品Database(Key保障內容）'!$B30</f>
        <v>0</v>
      </c>
      <c r="W30" s="1">
        <f>'商品Database(Key保障內容）'!W30/'商品Database(Key保障內容）'!$B30</f>
        <v>0</v>
      </c>
      <c r="X30" s="1">
        <f>'商品Database(Key保障內容）'!X30/'商品Database(Key保障內容）'!$B30</f>
        <v>0</v>
      </c>
      <c r="Y30" s="1">
        <f>'商品Database(Key保障內容）'!Y30/'商品Database(Key保障內容）'!$B30</f>
        <v>0</v>
      </c>
      <c r="Z30" s="1">
        <f>'商品Database(Key保障內容）'!Z30/'商品Database(Key保障內容）'!$B30</f>
        <v>0</v>
      </c>
      <c r="AA30" s="1">
        <f>'商品Database(Key保障內容）'!AA30/'商品Database(Key保障內容）'!$B30</f>
        <v>0</v>
      </c>
      <c r="AB30" s="1">
        <f>'商品Database(Key保障內容）'!AB30/'商品Database(Key保障內容）'!$B30</f>
        <v>0</v>
      </c>
      <c r="AC30" s="1">
        <f>'商品Database(Key保障內容）'!AC30/'商品Database(Key保障內容）'!$B30</f>
        <v>0</v>
      </c>
      <c r="AD30" s="1">
        <f>'商品Database(Key保障內容）'!AD30/'商品Database(Key保障內容）'!$B30</f>
        <v>0</v>
      </c>
      <c r="AE30" s="1">
        <f>'商品Database(Key保障內容）'!AE30/'商品Database(Key保障內容）'!$B30</f>
        <v>0</v>
      </c>
      <c r="AF30" s="1">
        <f>'商品Database(Key保障內容）'!AF30/'商品Database(Key保障內容）'!$B30</f>
        <v>0</v>
      </c>
      <c r="AG30" s="1">
        <f>'商品Database(Key保障內容）'!AG30/'商品Database(Key保障內容）'!$B30</f>
        <v>0</v>
      </c>
      <c r="AH30" s="1">
        <f>'商品Database(Key保障內容）'!AH30/'商品Database(Key保障內容）'!$B30</f>
        <v>0</v>
      </c>
      <c r="AI30" s="1">
        <f>'商品Database(Key保障內容）'!AI30/'商品Database(Key保障內容）'!$B30</f>
        <v>0</v>
      </c>
      <c r="AJ30" s="1">
        <f>'商品Database(Key保障內容）'!AJ30/'商品Database(Key保障內容）'!$B30</f>
        <v>0</v>
      </c>
      <c r="AK30" s="1">
        <f>'商品Database(Key保障內容）'!AK30/'商品Database(Key保障內容）'!$B30</f>
        <v>0</v>
      </c>
      <c r="AL30" s="1">
        <f>'商品Database(Key保障內容）'!AL30/'商品Database(Key保障內容）'!$B30</f>
        <v>0</v>
      </c>
      <c r="AM30" s="1">
        <f>'商品Database(Key保障內容）'!AM30/'商品Database(Key保障內容）'!$B30</f>
        <v>0</v>
      </c>
      <c r="AN30" s="1">
        <f>'商品Database(Key保障內容）'!AN30/'商品Database(Key保障內容）'!$B30</f>
        <v>0</v>
      </c>
    </row>
    <row r="31" spans="1:40">
      <c r="A31" s="16" t="str">
        <f>'商品Database(Key保障內容）'!A31</f>
        <v>XDDR</v>
      </c>
      <c r="B31" s="1">
        <v>500000</v>
      </c>
      <c r="C31" s="1">
        <f>'商品Database(Key保障內容）'!C31/'商品Database(Key保障內容）'!$B31</f>
        <v>0</v>
      </c>
      <c r="D31" s="1">
        <f>'商品Database(Key保障內容）'!D31/'商品Database(Key保障內容）'!$B31</f>
        <v>0</v>
      </c>
      <c r="E31" s="1">
        <f>'商品Database(Key保障內容）'!E31/'商品Database(Key保障內容）'!$B31</f>
        <v>0</v>
      </c>
      <c r="F31" s="1">
        <f>'商品Database(Key保障內容）'!F31/'商品Database(Key保障內容）'!$B31</f>
        <v>0</v>
      </c>
      <c r="G31" s="1">
        <f>'商品Database(Key保障內容）'!G31/'商品Database(Key保障內容）'!$B31</f>
        <v>0</v>
      </c>
      <c r="H31" s="1">
        <f>'商品Database(Key保障內容）'!H31/'商品Database(Key保障內容）'!$B31</f>
        <v>0</v>
      </c>
      <c r="I31" s="1">
        <f>'商品Database(Key保障內容）'!I31/'商品Database(Key保障內容）'!$B31</f>
        <v>0</v>
      </c>
      <c r="J31" s="1">
        <f>'商品Database(Key保障內容）'!J31/'商品Database(Key保障內容）'!$B31</f>
        <v>0</v>
      </c>
      <c r="K31" s="1">
        <f>'商品Database(Key保障內容）'!K31/'商品Database(Key保障內容）'!$B31</f>
        <v>0</v>
      </c>
      <c r="L31" s="1">
        <f>'商品Database(Key保障內容）'!L31/'商品Database(Key保障內容）'!$B31</f>
        <v>0</v>
      </c>
      <c r="M31" s="1">
        <f>'商品Database(Key保障內容）'!M31/'商品Database(Key保障內容）'!$B31</f>
        <v>0</v>
      </c>
      <c r="N31" s="1">
        <f>'商品Database(Key保障內容）'!N31/'商品Database(Key保障內容）'!$B31</f>
        <v>0</v>
      </c>
      <c r="O31" s="1">
        <f>'商品Database(Key保障內容）'!O31/'商品Database(Key保障內容）'!$B31</f>
        <v>0</v>
      </c>
      <c r="P31" s="1">
        <f>'商品Database(Key保障內容）'!P31/'商品Database(Key保障內容）'!$B31</f>
        <v>0</v>
      </c>
      <c r="Q31" s="1">
        <f>'商品Database(Key保障內容）'!Q31/'商品Database(Key保障內容）'!$B31</f>
        <v>0</v>
      </c>
      <c r="R31" s="1">
        <f>'商品Database(Key保障內容）'!R31/'商品Database(Key保障內容）'!$B31</f>
        <v>0</v>
      </c>
      <c r="S31" s="1">
        <f>'商品Database(Key保障內容）'!S31/'商品Database(Key保障內容）'!$B31</f>
        <v>0</v>
      </c>
      <c r="T31" s="1">
        <f>'商品Database(Key保障內容）'!T31/'商品Database(Key保障內容）'!$B31</f>
        <v>1</v>
      </c>
      <c r="U31" s="1">
        <f>'商品Database(Key保障內容）'!U31/'商品Database(Key保障內容）'!$B31</f>
        <v>0</v>
      </c>
      <c r="V31" s="1">
        <f>'商品Database(Key保障內容）'!V31/'商品Database(Key保障內容）'!$B31</f>
        <v>0</v>
      </c>
      <c r="W31" s="1">
        <f>'商品Database(Key保障內容）'!W31/'商品Database(Key保障內容）'!$B31</f>
        <v>0</v>
      </c>
      <c r="X31" s="1">
        <f>'商品Database(Key保障內容）'!X31/'商品Database(Key保障內容）'!$B31</f>
        <v>0</v>
      </c>
      <c r="Y31" s="1">
        <f>'商品Database(Key保障內容）'!Y31/'商品Database(Key保障內容）'!$B31</f>
        <v>0</v>
      </c>
      <c r="Z31" s="1">
        <f>'商品Database(Key保障內容）'!Z31/'商品Database(Key保障內容）'!$B31</f>
        <v>0</v>
      </c>
      <c r="AA31" s="1">
        <f>'商品Database(Key保障內容）'!AA31/'商品Database(Key保障內容）'!$B31</f>
        <v>0</v>
      </c>
      <c r="AB31" s="1">
        <f>'商品Database(Key保障內容）'!AB31/'商品Database(Key保障內容）'!$B31</f>
        <v>1</v>
      </c>
      <c r="AC31" s="1">
        <f>'商品Database(Key保障內容）'!AC31/'商品Database(Key保障內容）'!$B31</f>
        <v>0</v>
      </c>
      <c r="AD31" s="1">
        <f>'商品Database(Key保障內容）'!AD31/'商品Database(Key保障內容）'!$B31</f>
        <v>0</v>
      </c>
      <c r="AE31" s="1">
        <f>'商品Database(Key保障內容）'!AE31/'商品Database(Key保障內容）'!$B31</f>
        <v>0</v>
      </c>
      <c r="AF31" s="1">
        <f>'商品Database(Key保障內容）'!AF31/'商品Database(Key保障內容）'!$B31</f>
        <v>0</v>
      </c>
      <c r="AG31" s="1">
        <f>'商品Database(Key保障內容）'!AG31/'商品Database(Key保障內容）'!$B31</f>
        <v>0</v>
      </c>
      <c r="AH31" s="1">
        <f>'商品Database(Key保障內容）'!AH31/'商品Database(Key保障內容）'!$B31</f>
        <v>0</v>
      </c>
      <c r="AI31" s="1">
        <f>'商品Database(Key保障內容）'!AI31/'商品Database(Key保障內容）'!$B31</f>
        <v>0</v>
      </c>
      <c r="AJ31" s="1">
        <f>'商品Database(Key保障內容）'!AJ31/'商品Database(Key保障內容）'!$B31</f>
        <v>0</v>
      </c>
      <c r="AK31" s="1">
        <f>'商品Database(Key保障內容）'!AK31/'商品Database(Key保障內容）'!$B31</f>
        <v>0</v>
      </c>
      <c r="AL31" s="1">
        <f>'商品Database(Key保障內容）'!AL31/'商品Database(Key保障內容）'!$B31</f>
        <v>0</v>
      </c>
      <c r="AM31" s="1">
        <f>'商品Database(Key保障內容）'!AM31/'商品Database(Key保障內容）'!$B31</f>
        <v>0</v>
      </c>
      <c r="AN31" s="1">
        <f>'商品Database(Key保障內容）'!AN31/'商品Database(Key保障內容）'!$B31</f>
        <v>0</v>
      </c>
    </row>
    <row r="32" spans="1:40">
      <c r="A32" s="16" t="s">
        <v>155</v>
      </c>
      <c r="B32" s="1">
        <v>5</v>
      </c>
      <c r="C32" s="1">
        <f>'商品Database(Key保障內容）'!C32/'商品Database(Key保障內容）'!$B32</f>
        <v>100</v>
      </c>
      <c r="D32" s="1">
        <f>'商品Database(Key保障內容）'!D32/'商品Database(Key保障內容）'!$B32</f>
        <v>200</v>
      </c>
      <c r="E32" s="1">
        <f>'商品Database(Key保障內容）'!E32/'商品Database(Key保障內容）'!$B32</f>
        <v>2000</v>
      </c>
      <c r="F32" s="1">
        <f>'商品Database(Key保障內容）'!F32/'商品Database(Key保障內容）'!$B32</f>
        <v>0</v>
      </c>
      <c r="G32" s="1">
        <f>'商品Database(Key保障內容）'!G32/'商品Database(Key保障內容）'!$B32</f>
        <v>0</v>
      </c>
      <c r="H32" s="1">
        <f>'商品Database(Key保障內容）'!H32/'商品Database(Key保障內容）'!$B32</f>
        <v>0</v>
      </c>
      <c r="I32" s="1">
        <f>'商品Database(Key保障內容）'!I32/'商品Database(Key保障內容）'!$B32</f>
        <v>0</v>
      </c>
      <c r="J32" s="1">
        <f>'商品Database(Key保障內容）'!J32/'商品Database(Key保障內容）'!$B32</f>
        <v>0</v>
      </c>
      <c r="K32" s="1">
        <f>'商品Database(Key保障內容）'!K32/'商品Database(Key保障內容）'!$B32</f>
        <v>0</v>
      </c>
      <c r="L32" s="1">
        <f>'商品Database(Key保障內容）'!L32/'商品Database(Key保障內容）'!$B32</f>
        <v>0</v>
      </c>
      <c r="M32" s="1">
        <f>'商品Database(Key保障內容）'!M32/'商品Database(Key保障內容）'!$B32</f>
        <v>0</v>
      </c>
      <c r="N32" s="1">
        <f>'商品Database(Key保障內容）'!N32/'商品Database(Key保障內容）'!$B32</f>
        <v>0</v>
      </c>
      <c r="O32" s="1">
        <f>'商品Database(Key保障內容）'!O32/'商品Database(Key保障內容）'!$B32</f>
        <v>0</v>
      </c>
      <c r="P32" s="1">
        <f>'商品Database(Key保障內容）'!P32/'商品Database(Key保障內容）'!$B32</f>
        <v>0</v>
      </c>
      <c r="Q32" s="1">
        <f>'商品Database(Key保障內容）'!Q32/'商品Database(Key保障內容）'!$B32</f>
        <v>0</v>
      </c>
      <c r="R32" s="1">
        <f>'商品Database(Key保障內容）'!R32/'商品Database(Key保障內容）'!$B32</f>
        <v>0</v>
      </c>
      <c r="S32" s="1">
        <f>'商品Database(Key保障內容）'!S32/'商品Database(Key保障內容）'!$B32</f>
        <v>0</v>
      </c>
      <c r="T32" s="1">
        <f>'商品Database(Key保障內容）'!T32/'商品Database(Key保障內容）'!$B32</f>
        <v>0</v>
      </c>
      <c r="U32" s="1">
        <f>'商品Database(Key保障內容）'!U32/'商品Database(Key保障內容）'!$B32</f>
        <v>0</v>
      </c>
      <c r="V32" s="1">
        <f>'商品Database(Key保障內容）'!V32/'商品Database(Key保障內容）'!$B32</f>
        <v>0</v>
      </c>
      <c r="W32" s="1">
        <f>'商品Database(Key保障內容）'!W32/'商品Database(Key保障內容）'!$B32</f>
        <v>0</v>
      </c>
      <c r="X32" s="1">
        <f>'商品Database(Key保障內容）'!X32/'商品Database(Key保障內容）'!$B32</f>
        <v>0</v>
      </c>
      <c r="Y32" s="1">
        <f>'商品Database(Key保障內容）'!Y32/'商品Database(Key保障內容）'!$B32</f>
        <v>0</v>
      </c>
      <c r="Z32" s="1">
        <f>'商品Database(Key保障內容）'!Z32/'商品Database(Key保障內容）'!$B32</f>
        <v>0</v>
      </c>
      <c r="AA32" s="1">
        <f>'商品Database(Key保障內容）'!AA32/'商品Database(Key保障內容）'!$B32</f>
        <v>0</v>
      </c>
      <c r="AB32" s="1">
        <f>'商品Database(Key保障內容）'!AB32/'商品Database(Key保障內容）'!$B32</f>
        <v>0</v>
      </c>
      <c r="AC32" s="1">
        <f>'商品Database(Key保障內容）'!AC32/'商品Database(Key保障內容）'!$B32</f>
        <v>0</v>
      </c>
      <c r="AD32" s="1">
        <f>'商品Database(Key保障內容）'!AD32/'商品Database(Key保障內容）'!$B32</f>
        <v>0</v>
      </c>
      <c r="AE32" s="1">
        <f>'商品Database(Key保障內容）'!AE32/'商品Database(Key保障內容）'!$B32</f>
        <v>0</v>
      </c>
      <c r="AF32" s="1">
        <f>'商品Database(Key保障內容）'!AF32/'商品Database(Key保障內容）'!$B32</f>
        <v>0</v>
      </c>
      <c r="AG32" s="1">
        <f>'商品Database(Key保障內容）'!AG32/'商品Database(Key保障內容）'!$B32</f>
        <v>0</v>
      </c>
      <c r="AH32" s="1">
        <f>'商品Database(Key保障內容）'!AH32/'商品Database(Key保障內容）'!$B32</f>
        <v>0</v>
      </c>
      <c r="AI32" s="1">
        <f>'商品Database(Key保障內容）'!AI32/'商品Database(Key保障內容）'!$B32</f>
        <v>0</v>
      </c>
      <c r="AJ32" s="1">
        <f>'商品Database(Key保障內容）'!AJ32/'商品Database(Key保障內容）'!$B32</f>
        <v>0</v>
      </c>
      <c r="AK32" s="1">
        <f>'商品Database(Key保障內容）'!AK32/'商品Database(Key保障內容）'!$B32</f>
        <v>0</v>
      </c>
      <c r="AL32" s="1">
        <f>'商品Database(Key保障內容）'!AL32/'商品Database(Key保障內容）'!$B32</f>
        <v>0</v>
      </c>
      <c r="AM32" s="1">
        <f>'商品Database(Key保障內容）'!AM32/'商品Database(Key保障內容）'!$B32</f>
        <v>0</v>
      </c>
      <c r="AN32" s="1">
        <f>'商品Database(Key保障內容）'!AN32/'商品Database(Key保障內容）'!$B32</f>
        <v>0</v>
      </c>
    </row>
    <row r="33" spans="1:40">
      <c r="A33" s="16" t="str">
        <f>'商品Database(Key保障內容）'!A33</f>
        <v>EPAA</v>
      </c>
      <c r="B33" s="1">
        <v>1000000</v>
      </c>
      <c r="C33" s="1">
        <f>'商品Database(Key保障內容）'!C33/'商品Database(Key保障內容）'!$B33</f>
        <v>0</v>
      </c>
      <c r="D33" s="1">
        <f>'商品Database(Key保障內容）'!D33/'商品Database(Key保障內容）'!$B33</f>
        <v>0</v>
      </c>
      <c r="E33" s="1">
        <f>'商品Database(Key保障內容）'!E33/'商品Database(Key保障內容）'!$B33</f>
        <v>0</v>
      </c>
      <c r="F33" s="1">
        <f>'商品Database(Key保障內容）'!F33/'商品Database(Key保障內容）'!$B33</f>
        <v>0</v>
      </c>
      <c r="G33" s="1">
        <f>'商品Database(Key保障內容）'!G33/'商品Database(Key保障內容）'!$B33</f>
        <v>0</v>
      </c>
      <c r="H33" s="1">
        <f>'商品Database(Key保障內容）'!H33/'商品Database(Key保障內容）'!$B33</f>
        <v>0</v>
      </c>
      <c r="I33" s="1">
        <f>'商品Database(Key保障內容）'!I33/'商品Database(Key保障內容）'!$B33</f>
        <v>0</v>
      </c>
      <c r="J33" s="1">
        <f>'商品Database(Key保障內容）'!J33/'商品Database(Key保障內容）'!$B33</f>
        <v>0</v>
      </c>
      <c r="K33" s="1">
        <f>'商品Database(Key保障內容）'!K33/'商品Database(Key保障內容）'!$B33</f>
        <v>0</v>
      </c>
      <c r="L33" s="1">
        <f>'商品Database(Key保障內容）'!L33/'商品Database(Key保障內容）'!$B33</f>
        <v>0</v>
      </c>
      <c r="M33" s="1">
        <f>'商品Database(Key保障內容）'!M33/'商品Database(Key保障內容）'!$B33</f>
        <v>0</v>
      </c>
      <c r="N33" s="1">
        <f>'商品Database(Key保障內容）'!N33/'商品Database(Key保障內容）'!$B33</f>
        <v>0</v>
      </c>
      <c r="O33" s="1">
        <f>'商品Database(Key保障內容）'!O33/'商品Database(Key保障內容）'!$B33</f>
        <v>0</v>
      </c>
      <c r="P33" s="1">
        <f>'商品Database(Key保障內容）'!P33/'商品Database(Key保障內容）'!$B33</f>
        <v>0</v>
      </c>
      <c r="Q33" s="1">
        <f>'商品Database(Key保障內容）'!Q33/'商品Database(Key保障內容）'!$B33</f>
        <v>0</v>
      </c>
      <c r="R33" s="1">
        <f>'商品Database(Key保障內容）'!R33/'商品Database(Key保障內容）'!$B33</f>
        <v>0</v>
      </c>
      <c r="S33" s="1">
        <f>'商品Database(Key保障內容）'!S33/'商品Database(Key保障內容）'!$B33</f>
        <v>1</v>
      </c>
      <c r="T33" s="1">
        <f>'商品Database(Key保障內容）'!T33/'商品Database(Key保障內容）'!$B33</f>
        <v>0</v>
      </c>
      <c r="U33" s="1">
        <f>'商品Database(Key保障內容）'!U33/'商品Database(Key保障內容）'!$B33</f>
        <v>0</v>
      </c>
      <c r="V33" s="1">
        <f>'商品Database(Key保障內容）'!V33/'商品Database(Key保障內容）'!$B33</f>
        <v>0</v>
      </c>
      <c r="W33" s="1">
        <f>'商品Database(Key保障內容）'!W33/'商品Database(Key保障內容）'!$B33</f>
        <v>0</v>
      </c>
      <c r="X33" s="1">
        <f>'商品Database(Key保障內容）'!X33/'商品Database(Key保障內容）'!$B33</f>
        <v>0</v>
      </c>
      <c r="Y33" s="1">
        <f>'商品Database(Key保障內容）'!Y33/'商品Database(Key保障內容）'!$B33</f>
        <v>0</v>
      </c>
      <c r="Z33" s="1">
        <f>'商品Database(Key保障內容）'!Z33/'商品Database(Key保障內容）'!$B33</f>
        <v>0</v>
      </c>
      <c r="AA33" s="1">
        <f>'商品Database(Key保障內容）'!AA33/'商品Database(Key保障內容）'!$B33</f>
        <v>0</v>
      </c>
      <c r="AB33" s="1">
        <f>'商品Database(Key保障內容）'!AB33/'商品Database(Key保障內容）'!$B33</f>
        <v>0</v>
      </c>
      <c r="AC33" s="1">
        <f>'商品Database(Key保障內容）'!AC33/'商品Database(Key保障內容）'!$B33</f>
        <v>0</v>
      </c>
      <c r="AD33" s="1">
        <f>'商品Database(Key保障內容）'!AD33/'商品Database(Key保障內容）'!$B33</f>
        <v>0</v>
      </c>
      <c r="AE33" s="1">
        <f>'商品Database(Key保障內容）'!AE33/'商品Database(Key保障內容）'!$B33</f>
        <v>0</v>
      </c>
      <c r="AF33" s="1">
        <f>'商品Database(Key保障內容）'!AF33/'商品Database(Key保障內容）'!$B33</f>
        <v>0</v>
      </c>
      <c r="AG33" s="1">
        <f>'商品Database(Key保障內容）'!AG33/'商品Database(Key保障內容）'!$B33</f>
        <v>0</v>
      </c>
      <c r="AH33" s="1">
        <f>'商品Database(Key保障內容）'!AH33/'商品Database(Key保障內容）'!$B33</f>
        <v>0</v>
      </c>
      <c r="AI33" s="1">
        <f>'商品Database(Key保障內容）'!AI33/'商品Database(Key保障內容）'!$B33</f>
        <v>0</v>
      </c>
      <c r="AJ33" s="1">
        <f>'商品Database(Key保障內容）'!AJ33/'商品Database(Key保障內容）'!$B33</f>
        <v>0</v>
      </c>
      <c r="AK33" s="1">
        <f>'商品Database(Key保障內容）'!AK33/'商品Database(Key保障內容）'!$B33</f>
        <v>0</v>
      </c>
      <c r="AL33" s="1">
        <f>'商品Database(Key保障內容）'!AL33/'商品Database(Key保障內容）'!$B33</f>
        <v>0</v>
      </c>
      <c r="AM33" s="1">
        <f>'商品Database(Key保障內容）'!AM33/'商品Database(Key保障內容）'!$B33</f>
        <v>0</v>
      </c>
      <c r="AN33" s="1">
        <f>'商品Database(Key保障內容）'!AN33/'商品Database(Key保障內容）'!$B33</f>
        <v>0</v>
      </c>
    </row>
    <row r="34" spans="1:40">
      <c r="A34" s="16" t="str">
        <f>'商品Database(Key保障內容）'!A34</f>
        <v>LEGOCG</v>
      </c>
      <c r="B34" s="1">
        <v>500</v>
      </c>
      <c r="C34" s="1">
        <f>'商品Database(Key保障內容）'!C34/'商品Database(Key保障內容）'!$B34</f>
        <v>1</v>
      </c>
      <c r="D34" s="1">
        <f>'商品Database(Key保障內容）'!D34/'商品Database(Key保障內容）'!$B34</f>
        <v>2</v>
      </c>
      <c r="E34" s="1">
        <f>'商品Database(Key保障內容）'!E34/'商品Database(Key保障內容）'!$B34</f>
        <v>1</v>
      </c>
      <c r="F34" s="1">
        <f>'商品Database(Key保障內容）'!F34/'商品Database(Key保障內容）'!$B34</f>
        <v>0</v>
      </c>
      <c r="G34" s="1">
        <f>'商品Database(Key保障內容）'!G34/'商品Database(Key保障內容）'!$B34</f>
        <v>0</v>
      </c>
      <c r="H34" s="1">
        <f>'商品Database(Key保障內容）'!H34/'商品Database(Key保障內容）'!$B34</f>
        <v>1</v>
      </c>
      <c r="I34" s="1">
        <f>'商品Database(Key保障內容）'!I34/'商品Database(Key保障內容）'!$B34</f>
        <v>0</v>
      </c>
      <c r="J34" s="1">
        <f>'商品Database(Key保障內容）'!J34/'商品Database(Key保障內容）'!$B34</f>
        <v>0</v>
      </c>
      <c r="K34" s="1">
        <f>'商品Database(Key保障內容）'!K34/'商品Database(Key保障內容）'!$B34</f>
        <v>0</v>
      </c>
      <c r="L34" s="1">
        <f>'商品Database(Key保障內容）'!L34/'商品Database(Key保障內容）'!$B34</f>
        <v>0</v>
      </c>
      <c r="M34" s="1">
        <f>'商品Database(Key保障內容）'!M34/'商品Database(Key保障內容）'!$B34</f>
        <v>0</v>
      </c>
      <c r="N34" s="1">
        <f>'商品Database(Key保障內容）'!N34/'商品Database(Key保障內容）'!$B34</f>
        <v>0</v>
      </c>
      <c r="O34" s="1">
        <f>'商品Database(Key保障內容）'!O34/'商品Database(Key保障內容）'!$B34</f>
        <v>0</v>
      </c>
      <c r="P34" s="1">
        <f>'商品Database(Key保障內容）'!P34/'商品Database(Key保障內容）'!$B34</f>
        <v>0</v>
      </c>
      <c r="Q34" s="1">
        <f>'商品Database(Key保障內容）'!Q34/'商品Database(Key保障內容）'!$B34</f>
        <v>0</v>
      </c>
      <c r="R34" s="1">
        <f>'商品Database(Key保障內容）'!R34/'商品Database(Key保障內容）'!$B34</f>
        <v>0</v>
      </c>
      <c r="S34" s="1">
        <f>'商品Database(Key保障內容）'!S34/'商品Database(Key保障內容）'!$B34</f>
        <v>0</v>
      </c>
      <c r="T34" s="1">
        <f>'商品Database(Key保障內容）'!T34/'商品Database(Key保障內容）'!$B34</f>
        <v>0</v>
      </c>
      <c r="U34" s="1">
        <f>'商品Database(Key保障內容）'!U34/'商品Database(Key保障內容）'!$B34</f>
        <v>0</v>
      </c>
      <c r="V34" s="1">
        <f>'商品Database(Key保障內容）'!V34/'商品Database(Key保障內容）'!$B34</f>
        <v>0</v>
      </c>
      <c r="W34" s="1">
        <f>'商品Database(Key保障內容）'!W34/'商品Database(Key保障內容）'!$B34</f>
        <v>0</v>
      </c>
      <c r="X34" s="1">
        <f>'商品Database(Key保障內容）'!X34/'商品Database(Key保障內容）'!$B34</f>
        <v>0</v>
      </c>
      <c r="Y34" s="1">
        <f>'商品Database(Key保障內容）'!Y34/'商品Database(Key保障內容）'!$B34</f>
        <v>0</v>
      </c>
      <c r="Z34" s="1">
        <f>'商品Database(Key保障內容）'!Z34/'商品Database(Key保障內容）'!$B34</f>
        <v>0</v>
      </c>
      <c r="AA34" s="1">
        <f>'商品Database(Key保障內容）'!AA34/'商品Database(Key保障內容）'!$B34</f>
        <v>0</v>
      </c>
      <c r="AB34" s="1">
        <f>'商品Database(Key保障內容）'!AB34/'商品Database(Key保障內容）'!$B34</f>
        <v>0</v>
      </c>
      <c r="AC34" s="1">
        <f>'商品Database(Key保障內容）'!AC34/'商品Database(Key保障內容）'!$B34</f>
        <v>0</v>
      </c>
      <c r="AD34" s="1">
        <f>'商品Database(Key保障內容）'!AD34/'商品Database(Key保障內容）'!$B34</f>
        <v>0</v>
      </c>
      <c r="AE34" s="1">
        <f>'商品Database(Key保障內容）'!AE34/'商品Database(Key保障內容）'!$B34</f>
        <v>0</v>
      </c>
      <c r="AF34" s="1">
        <f>'商品Database(Key保障內容）'!AF34/'商品Database(Key保障內容）'!$B34</f>
        <v>0</v>
      </c>
      <c r="AG34" s="1">
        <f>'商品Database(Key保障內容）'!AG34/'商品Database(Key保障內容）'!$B34</f>
        <v>0</v>
      </c>
      <c r="AH34" s="1">
        <f>'商品Database(Key保障內容）'!AH34/'商品Database(Key保障內容）'!$B34</f>
        <v>0</v>
      </c>
      <c r="AI34" s="1">
        <f>'商品Database(Key保障內容）'!AI34/'商品Database(Key保障內容）'!$B34</f>
        <v>0</v>
      </c>
      <c r="AJ34" s="1">
        <f>'商品Database(Key保障內容）'!AJ34/'商品Database(Key保障內容）'!$B34</f>
        <v>0</v>
      </c>
      <c r="AK34" s="1">
        <f>'商品Database(Key保障內容）'!AK34/'商品Database(Key保障內容）'!$B34</f>
        <v>0</v>
      </c>
      <c r="AL34" s="1">
        <f>'商品Database(Key保障內容）'!AL34/'商品Database(Key保障內容）'!$B34</f>
        <v>0</v>
      </c>
      <c r="AM34" s="1">
        <f>'商品Database(Key保障內容）'!AM34/'商品Database(Key保障內容）'!$B34</f>
        <v>0</v>
      </c>
      <c r="AN34" s="1">
        <f>'商品Database(Key保障內容）'!AN34/'商品Database(Key保障內容）'!$B34</f>
        <v>0</v>
      </c>
    </row>
    <row r="35" spans="1:40">
      <c r="A35" s="16" t="str">
        <f>'商品Database(Key保障內容）'!A35</f>
        <v>LEGOAE</v>
      </c>
      <c r="B35" s="1">
        <v>500</v>
      </c>
      <c r="C35" s="1">
        <f>'商品Database(Key保障內容）'!C35/'商品Database(Key保障內容）'!$B35</f>
        <v>1</v>
      </c>
      <c r="D35" s="1">
        <f>'商品Database(Key保障內容）'!D35/'商品Database(Key保障內容）'!$B35</f>
        <v>1</v>
      </c>
      <c r="E35" s="1">
        <f>'商品Database(Key保障內容）'!E35/'商品Database(Key保障內容）'!$B35</f>
        <v>0</v>
      </c>
      <c r="F35" s="1">
        <f>'商品Database(Key保障內容）'!F35/'商品Database(Key保障內容）'!$B35</f>
        <v>0</v>
      </c>
      <c r="G35" s="1">
        <f>'商品Database(Key保障內容）'!G35/'商品Database(Key保障內容）'!$B35</f>
        <v>0</v>
      </c>
      <c r="H35" s="1">
        <f>'商品Database(Key保障內容）'!H35/'商品Database(Key保障內容）'!$B35</f>
        <v>0</v>
      </c>
      <c r="I35" s="1">
        <f>'商品Database(Key保障內容）'!I35/'商品Database(Key保障內容）'!$B35</f>
        <v>0</v>
      </c>
      <c r="J35" s="1">
        <f>'商品Database(Key保障內容）'!J35/'商品Database(Key保障內容）'!$B35</f>
        <v>0</v>
      </c>
      <c r="K35" s="1">
        <f>'商品Database(Key保障內容）'!K35/'商品Database(Key保障內容）'!$B35</f>
        <v>0</v>
      </c>
      <c r="L35" s="1">
        <f>'商品Database(Key保障內容）'!L35/'商品Database(Key保障內容）'!$B35</f>
        <v>0</v>
      </c>
      <c r="M35" s="1">
        <f>'商品Database(Key保障內容）'!M35/'商品Database(Key保障內容）'!$B35</f>
        <v>0</v>
      </c>
      <c r="N35" s="1">
        <f>'商品Database(Key保障內容）'!N35/'商品Database(Key保障內容）'!$B35</f>
        <v>0</v>
      </c>
      <c r="O35" s="1">
        <f>'商品Database(Key保障內容）'!O35/'商品Database(Key保障內容）'!$B35</f>
        <v>0</v>
      </c>
      <c r="P35" s="1">
        <f>'商品Database(Key保障內容）'!P35/'商品Database(Key保障內容）'!$B35</f>
        <v>0</v>
      </c>
      <c r="Q35" s="1">
        <f>'商品Database(Key保障內容）'!Q35/'商品Database(Key保障內容）'!$B35</f>
        <v>0</v>
      </c>
      <c r="R35" s="1">
        <f>'商品Database(Key保障內容）'!R35/'商品Database(Key保障內容）'!$B35</f>
        <v>0</v>
      </c>
      <c r="S35" s="1">
        <f>'商品Database(Key保障內容）'!S35/'商品Database(Key保障內容）'!$B35</f>
        <v>0</v>
      </c>
      <c r="T35" s="1">
        <f>'商品Database(Key保障內容）'!T35/'商品Database(Key保障內容）'!$B35</f>
        <v>0</v>
      </c>
      <c r="U35" s="1">
        <f>'商品Database(Key保障內容）'!U35/'商品Database(Key保障內容）'!$B35</f>
        <v>0</v>
      </c>
      <c r="V35" s="1">
        <f>'商品Database(Key保障內容）'!V35/'商品Database(Key保障內容）'!$B35</f>
        <v>0</v>
      </c>
      <c r="W35" s="1">
        <f>'商品Database(Key保障內容）'!W35/'商品Database(Key保障內容）'!$B35</f>
        <v>0</v>
      </c>
      <c r="X35" s="1">
        <f>'商品Database(Key保障內容）'!X35/'商品Database(Key保障內容）'!$B35</f>
        <v>0</v>
      </c>
      <c r="Y35" s="1">
        <f>'商品Database(Key保障內容）'!Y35/'商品Database(Key保障內容）'!$B35</f>
        <v>0</v>
      </c>
      <c r="Z35" s="1">
        <f>'商品Database(Key保障內容）'!Z35/'商品Database(Key保障內容）'!$B35</f>
        <v>0</v>
      </c>
      <c r="AA35" s="1">
        <f>'商品Database(Key保障內容）'!AA35/'商品Database(Key保障內容）'!$B35</f>
        <v>0</v>
      </c>
      <c r="AB35" s="1">
        <f>'商品Database(Key保障內容）'!AB35/'商品Database(Key保障內容）'!$B35</f>
        <v>0</v>
      </c>
      <c r="AC35" s="1">
        <f>'商品Database(Key保障內容）'!AC35/'商品Database(Key保障內容）'!$B35</f>
        <v>0</v>
      </c>
      <c r="AD35" s="1">
        <f>'商品Database(Key保障內容）'!AD35/'商品Database(Key保障內容）'!$B35</f>
        <v>0</v>
      </c>
      <c r="AE35" s="1">
        <f>'商品Database(Key保障內容）'!AE35/'商品Database(Key保障內容）'!$B35</f>
        <v>0</v>
      </c>
      <c r="AF35" s="1">
        <f>'商品Database(Key保障內容）'!AF35/'商品Database(Key保障內容）'!$B35</f>
        <v>0</v>
      </c>
      <c r="AG35" s="1">
        <f>'商品Database(Key保障內容）'!AG35/'商品Database(Key保障內容）'!$B35</f>
        <v>0</v>
      </c>
      <c r="AH35" s="1">
        <f>'商品Database(Key保障內容）'!AH35/'商品Database(Key保障內容）'!$B35</f>
        <v>0</v>
      </c>
      <c r="AI35" s="1">
        <f>'商品Database(Key保障內容）'!AI35/'商品Database(Key保障內容）'!$B35</f>
        <v>0</v>
      </c>
      <c r="AJ35" s="1">
        <f>'商品Database(Key保障內容）'!AJ35/'商品Database(Key保障內容）'!$B35</f>
        <v>0</v>
      </c>
      <c r="AK35" s="1">
        <f>'商品Database(Key保障內容）'!AK35/'商品Database(Key保障內容）'!$B35</f>
        <v>0</v>
      </c>
      <c r="AL35" s="1">
        <f>'商品Database(Key保障內容）'!AL35/'商品Database(Key保障內容）'!$B35</f>
        <v>0</v>
      </c>
      <c r="AM35" s="1">
        <f>'商品Database(Key保障內容）'!AM35/'商品Database(Key保障內容）'!$B35</f>
        <v>0</v>
      </c>
      <c r="AN35" s="1">
        <f>'商品Database(Key保障內容）'!AN35/'商品Database(Key保障內容）'!$B35</f>
        <v>0</v>
      </c>
    </row>
    <row r="36" spans="1:40">
      <c r="A36" s="16" t="str">
        <f>'商品Database(Key保障內容）'!A36</f>
        <v>MSCN</v>
      </c>
      <c r="B36" s="1">
        <v>1</v>
      </c>
      <c r="C36" s="1">
        <f>'商品Database(Key保障內容）'!C36/'商品Database(Key保障內容）'!$B36</f>
        <v>0</v>
      </c>
      <c r="D36" s="1">
        <f>'商品Database(Key保障內容）'!D36/'商品Database(Key保障內容）'!$B36</f>
        <v>0</v>
      </c>
      <c r="E36" s="1">
        <f>'商品Database(Key保障內容）'!E36/'商品Database(Key保障內容）'!$B36</f>
        <v>0</v>
      </c>
      <c r="F36" s="1">
        <f>'商品Database(Key保障內容）'!F36/'商品Database(Key保障內容）'!$B36</f>
        <v>0</v>
      </c>
      <c r="G36" s="1">
        <f>'商品Database(Key保障內容）'!G36/'商品Database(Key保障內容）'!$B36</f>
        <v>0</v>
      </c>
      <c r="H36" s="1">
        <f>'商品Database(Key保障內容）'!H36/'商品Database(Key保障內容）'!$B36</f>
        <v>0</v>
      </c>
      <c r="I36" s="1">
        <f>'商品Database(Key保障內容）'!I36/'商品Database(Key保障內容）'!$B36</f>
        <v>0</v>
      </c>
      <c r="J36" s="1">
        <f>'商品Database(Key保障內容）'!J36/'商品Database(Key保障內容）'!$B36</f>
        <v>0</v>
      </c>
      <c r="K36" s="1">
        <f>'商品Database(Key保障內容）'!K36/'商品Database(Key保障內容）'!$B36</f>
        <v>0</v>
      </c>
      <c r="L36" s="1">
        <f>'商品Database(Key保障內容）'!L36/'商品Database(Key保障內容）'!$B36</f>
        <v>0</v>
      </c>
      <c r="M36" s="1">
        <f>'商品Database(Key保障內容）'!M36/'商品Database(Key保障內容）'!$B36</f>
        <v>0</v>
      </c>
      <c r="N36" s="1">
        <f>'商品Database(Key保障內容）'!N36/'商品Database(Key保障內容）'!$B36</f>
        <v>0</v>
      </c>
      <c r="O36" s="1">
        <f>'商品Database(Key保障內容）'!O36/'商品Database(Key保障內容）'!$B36</f>
        <v>0</v>
      </c>
      <c r="P36" s="1">
        <f>'商品Database(Key保障內容）'!P36/'商品Database(Key保障內容）'!$B36</f>
        <v>0</v>
      </c>
      <c r="Q36" s="1">
        <f>'商品Database(Key保障內容）'!Q36/'商品Database(Key保障內容）'!$B36</f>
        <v>0</v>
      </c>
      <c r="R36" s="1">
        <f>'商品Database(Key保障內容）'!R36/'商品Database(Key保障內容）'!$B36</f>
        <v>0</v>
      </c>
      <c r="S36" s="1">
        <f>'商品Database(Key保障內容）'!S36/'商品Database(Key保障內容）'!$B36</f>
        <v>0</v>
      </c>
      <c r="T36" s="1">
        <f>'商品Database(Key保障內容）'!T36/'商品Database(Key保障內容）'!$B36</f>
        <v>50000</v>
      </c>
      <c r="U36" s="1">
        <f>'商品Database(Key保障內容）'!U36/'商品Database(Key保障內容）'!$B36</f>
        <v>150000</v>
      </c>
      <c r="V36" s="1">
        <f>'商品Database(Key保障內容）'!V36/'商品Database(Key保障內容）'!$B36</f>
        <v>1750</v>
      </c>
      <c r="W36" s="1">
        <f>'商品Database(Key保障內容）'!W36/'商品Database(Key保障內容）'!$B36</f>
        <v>1750</v>
      </c>
      <c r="X36" s="1">
        <f>'商品Database(Key保障內容）'!X36/'商品Database(Key保障內容）'!$B36</f>
        <v>15000</v>
      </c>
      <c r="Y36" s="1">
        <f>'商品Database(Key保障內容）'!Y36/'商品Database(Key保障內容）'!$B36</f>
        <v>500</v>
      </c>
      <c r="Z36" s="1">
        <f>'商品Database(Key保障內容）'!Z36/'商品Database(Key保障內容）'!$B36</f>
        <v>500</v>
      </c>
      <c r="AA36" s="1">
        <f>'商品Database(Key保障內容）'!AA36/'商品Database(Key保障內容）'!$B36</f>
        <v>50000</v>
      </c>
      <c r="AB36" s="1">
        <f>'商品Database(Key保障內容）'!AB36/'商品Database(Key保障內容）'!$B36</f>
        <v>0</v>
      </c>
      <c r="AC36" s="1">
        <f>'商品Database(Key保障內容）'!AC36/'商品Database(Key保障內容）'!$B36</f>
        <v>0</v>
      </c>
      <c r="AD36" s="1">
        <f>'商品Database(Key保障內容）'!AD36/'商品Database(Key保障內容）'!$B36</f>
        <v>0</v>
      </c>
      <c r="AE36" s="1">
        <f>'商品Database(Key保障內容）'!AE36/'商品Database(Key保障內容）'!$B36</f>
        <v>0</v>
      </c>
      <c r="AF36" s="1">
        <f>'商品Database(Key保障內容）'!AF36/'商品Database(Key保障內容）'!$B36</f>
        <v>0</v>
      </c>
      <c r="AG36" s="1">
        <f>'商品Database(Key保障內容）'!AG36/'商品Database(Key保障內容）'!$B36</f>
        <v>0</v>
      </c>
      <c r="AH36" s="1">
        <f>'商品Database(Key保障內容）'!AH36/'商品Database(Key保障內容）'!$B36</f>
        <v>0</v>
      </c>
      <c r="AI36" s="1">
        <f>'商品Database(Key保障內容）'!AI36/'商品Database(Key保障內容）'!$B36</f>
        <v>0</v>
      </c>
      <c r="AJ36" s="1">
        <f>'商品Database(Key保障內容）'!AJ36/'商品Database(Key保障內容）'!$B36</f>
        <v>0</v>
      </c>
      <c r="AK36" s="1">
        <f>'商品Database(Key保障內容）'!AK36/'商品Database(Key保障內容）'!$B36</f>
        <v>0</v>
      </c>
      <c r="AL36" s="1">
        <f>'商品Database(Key保障內容）'!AL36/'商品Database(Key保障內容）'!$B36</f>
        <v>0</v>
      </c>
      <c r="AM36" s="1">
        <f>'商品Database(Key保障內容）'!AM36/'商品Database(Key保障內容）'!$B36</f>
        <v>0</v>
      </c>
      <c r="AN36" s="1">
        <f>'商品Database(Key保障內容）'!AN36/'商品Database(Key保障內容）'!$B36</f>
        <v>0</v>
      </c>
    </row>
    <row r="37" spans="1:40">
      <c r="A37" s="16" t="str">
        <f>'商品Database(Key保障內容）'!A37</f>
        <v>LEGOHF</v>
      </c>
      <c r="B37" s="1">
        <v>12</v>
      </c>
      <c r="C37" s="1">
        <f>'商品Database(Key保障內容）'!C37/'商品Database(Key保障內容）'!$B37</f>
        <v>0</v>
      </c>
      <c r="D37" s="1">
        <f>'商品Database(Key保障內容）'!D37/'商品Database(Key保障內容）'!$B37</f>
        <v>0</v>
      </c>
      <c r="E37" s="1">
        <f>'商品Database(Key保障內容）'!E37/'商品Database(Key保障內容）'!$B37</f>
        <v>0</v>
      </c>
      <c r="F37" s="1">
        <f>'商品Database(Key保障內容）'!F37/'商品Database(Key保障內容）'!$B37</f>
        <v>0</v>
      </c>
      <c r="G37" s="1">
        <f>'商品Database(Key保障內容）'!G37/'商品Database(Key保障內容）'!$B37</f>
        <v>0</v>
      </c>
      <c r="H37" s="1">
        <f>'商品Database(Key保障內容）'!H37/'商品Database(Key保障內容）'!$B37</f>
        <v>0</v>
      </c>
      <c r="I37" s="1">
        <f>'商品Database(Key保障內容）'!I37/'商品Database(Key保障內容）'!$B37</f>
        <v>0</v>
      </c>
      <c r="J37" s="1">
        <f>'商品Database(Key保障內容）'!J37/'商品Database(Key保障內容）'!$B37</f>
        <v>0</v>
      </c>
      <c r="K37" s="1">
        <f>'商品Database(Key保障內容）'!K37/'商品Database(Key保障內容）'!$B37</f>
        <v>0</v>
      </c>
      <c r="L37" s="1">
        <f>'商品Database(Key保障內容）'!L37/'商品Database(Key保障內容）'!$B37</f>
        <v>0</v>
      </c>
      <c r="M37" s="1">
        <f>'商品Database(Key保障內容）'!M37/'商品Database(Key保障內容）'!$B37</f>
        <v>0</v>
      </c>
      <c r="N37" s="1">
        <f>'商品Database(Key保障內容）'!N37/'商品Database(Key保障內容）'!$B37</f>
        <v>0</v>
      </c>
      <c r="O37" s="1">
        <f>'商品Database(Key保障內容）'!O37/'商品Database(Key保障內容）'!$B37</f>
        <v>0</v>
      </c>
      <c r="P37" s="1">
        <f>'商品Database(Key保障內容）'!P37/'商品Database(Key保障內容）'!$B37</f>
        <v>0</v>
      </c>
      <c r="Q37" s="1">
        <f>'商品Database(Key保障內容）'!Q37/'商品Database(Key保障內容）'!$B37</f>
        <v>0</v>
      </c>
      <c r="R37" s="1">
        <f>'商品Database(Key保障內容）'!R37/'商品Database(Key保障內容）'!$B37</f>
        <v>0</v>
      </c>
      <c r="S37" s="1">
        <f>'商品Database(Key保障內容）'!S37/'商品Database(Key保障內容）'!$B37</f>
        <v>0</v>
      </c>
      <c r="T37" s="1">
        <f>'商品Database(Key保障內容）'!T37/'商品Database(Key保障內容）'!$B37</f>
        <v>0</v>
      </c>
      <c r="U37" s="1">
        <f>'商品Database(Key保障內容）'!U37/'商品Database(Key保障內容）'!$B37</f>
        <v>0</v>
      </c>
      <c r="V37" s="1">
        <f>'商品Database(Key保障內容）'!V37/'商品Database(Key保障內容）'!$B37</f>
        <v>0</v>
      </c>
      <c r="W37" s="1">
        <f>'商品Database(Key保障內容）'!W37/'商品Database(Key保障內容）'!$B37</f>
        <v>0</v>
      </c>
      <c r="X37" s="1">
        <f>'商品Database(Key保障內容）'!X37/'商品Database(Key保障內容）'!$B37</f>
        <v>0</v>
      </c>
      <c r="Y37" s="1">
        <f>'商品Database(Key保障內容）'!Y37/'商品Database(Key保障內容）'!$B37</f>
        <v>0</v>
      </c>
      <c r="Z37" s="1">
        <f>'商品Database(Key保障內容）'!Z37/'商品Database(Key保障內容）'!$B37</f>
        <v>0</v>
      </c>
      <c r="AA37" s="1">
        <f>'商品Database(Key保障內容）'!AA37/'商品Database(Key保障內容）'!$B37</f>
        <v>0</v>
      </c>
      <c r="AB37" s="1">
        <f>'商品Database(Key保障內容）'!AB37/'商品Database(Key保障內容）'!$B37</f>
        <v>0</v>
      </c>
      <c r="AC37" s="1">
        <f>'商品Database(Key保障內容）'!AC37/'商品Database(Key保障內容）'!$B37</f>
        <v>1</v>
      </c>
      <c r="AD37" s="1">
        <f>'商品Database(Key保障內容）'!AD37/'商品Database(Key保障內容）'!$B37</f>
        <v>1</v>
      </c>
      <c r="AE37" s="1">
        <f>'商品Database(Key保障內容）'!AE37/'商品Database(Key保障內容）'!$B37</f>
        <v>8.3333333333333329E-2</v>
      </c>
      <c r="AF37" s="1">
        <f>'商品Database(Key保障內容）'!AF37/'商品Database(Key保障內容）'!$B37</f>
        <v>8.3333333333333329E-2</v>
      </c>
      <c r="AG37" s="1">
        <f>'商品Database(Key保障內容）'!AG37/'商品Database(Key保障內容）'!$B37</f>
        <v>0</v>
      </c>
      <c r="AH37" s="1">
        <f>'商品Database(Key保障內容）'!AH37/'商品Database(Key保障內容）'!$B37</f>
        <v>0</v>
      </c>
      <c r="AI37" s="1">
        <f>'商品Database(Key保障內容）'!AI37/'商品Database(Key保障內容）'!$B37</f>
        <v>0</v>
      </c>
      <c r="AJ37" s="1">
        <f>'商品Database(Key保障內容）'!AJ37/'商品Database(Key保障內容）'!$B37</f>
        <v>8.3333333333333329E-2</v>
      </c>
      <c r="AK37" s="1">
        <f>'商品Database(Key保障內容）'!AK37/'商品Database(Key保障內容）'!$B37</f>
        <v>0</v>
      </c>
      <c r="AL37" s="1">
        <f>'商品Database(Key保障內容）'!AL37/'商品Database(Key保障內容）'!$B37</f>
        <v>0</v>
      </c>
      <c r="AM37" s="1">
        <f>'商品Database(Key保障內容）'!AM37/'商品Database(Key保障內容）'!$B37</f>
        <v>8.3333333333333329E-2</v>
      </c>
      <c r="AN37" s="1">
        <f>'商品Database(Key保障內容）'!AN37/'商品Database(Key保障內容）'!$B37</f>
        <v>8.3333333333333329E-2</v>
      </c>
    </row>
    <row r="38" spans="1:40">
      <c r="A38" s="16" t="str">
        <f>'商品Database(Key保障內容）'!A38</f>
        <v>MAJIMB</v>
      </c>
      <c r="B38" s="1">
        <v>500</v>
      </c>
      <c r="C38" s="1">
        <f>'商品Database(Key保障內容）'!C38/'商品Database(Key保障內容）'!$B38</f>
        <v>0</v>
      </c>
      <c r="D38" s="1">
        <f>'商品Database(Key保障內容）'!D38/'商品Database(Key保障內容）'!$B38</f>
        <v>0</v>
      </c>
      <c r="E38" s="1">
        <f>'商品Database(Key保障內容）'!E38/'商品Database(Key保障內容）'!$B38</f>
        <v>1</v>
      </c>
      <c r="F38" s="1">
        <f>'商品Database(Key保障內容）'!F38/'商品Database(Key保障內容）'!$B38</f>
        <v>0</v>
      </c>
      <c r="G38" s="1">
        <f>'商品Database(Key保障內容）'!G38/'商品Database(Key保障內容）'!$B38</f>
        <v>0</v>
      </c>
      <c r="H38" s="1">
        <f>'商品Database(Key保障內容）'!H38/'商品Database(Key保障內容）'!$B38</f>
        <v>1</v>
      </c>
      <c r="I38" s="1">
        <f>'商品Database(Key保障內容）'!I38/'商品Database(Key保障內容）'!$B38</f>
        <v>0</v>
      </c>
      <c r="J38" s="1">
        <f>'商品Database(Key保障內容）'!J38/'商品Database(Key保障內容）'!$B38</f>
        <v>0</v>
      </c>
      <c r="K38" s="1">
        <f>'商品Database(Key保障內容）'!K38/'商品Database(Key保障內容）'!$B38</f>
        <v>0</v>
      </c>
      <c r="L38" s="1">
        <f>'商品Database(Key保障內容）'!L38/'商品Database(Key保障內容）'!$B38</f>
        <v>0</v>
      </c>
      <c r="M38" s="1">
        <f>'商品Database(Key保障內容）'!M38/'商品Database(Key保障內容）'!$B38</f>
        <v>0</v>
      </c>
      <c r="N38" s="1">
        <f>'商品Database(Key保障內容）'!N38/'商品Database(Key保障內容）'!$B38</f>
        <v>0</v>
      </c>
      <c r="O38" s="1">
        <f>'商品Database(Key保障內容）'!O38/'商品Database(Key保障內容）'!$B38</f>
        <v>0</v>
      </c>
      <c r="P38" s="1">
        <f>'商品Database(Key保障內容）'!P38/'商品Database(Key保障內容）'!$B38</f>
        <v>0</v>
      </c>
      <c r="Q38" s="1">
        <f>'商品Database(Key保障內容）'!Q38/'商品Database(Key保障內容）'!$B38</f>
        <v>0</v>
      </c>
      <c r="R38" s="1">
        <f>'商品Database(Key保障內容）'!R38/'商品Database(Key保障內容）'!$B38</f>
        <v>0</v>
      </c>
      <c r="S38" s="1">
        <f>'商品Database(Key保障內容）'!S38/'商品Database(Key保障內容）'!$B38</f>
        <v>0</v>
      </c>
      <c r="T38" s="1">
        <f>'商品Database(Key保障內容）'!T38/'商品Database(Key保障內容）'!$B38</f>
        <v>0</v>
      </c>
      <c r="U38" s="1">
        <f>'商品Database(Key保障內容）'!U38/'商品Database(Key保障內容）'!$B38</f>
        <v>0</v>
      </c>
      <c r="V38" s="1">
        <f>'商品Database(Key保障內容）'!V38/'商品Database(Key保障內容）'!$B38</f>
        <v>0</v>
      </c>
      <c r="W38" s="1">
        <f>'商品Database(Key保障內容）'!W38/'商品Database(Key保障內容）'!$B38</f>
        <v>0</v>
      </c>
      <c r="X38" s="1">
        <f>'商品Database(Key保障內容）'!X38/'商品Database(Key保障內容）'!$B38</f>
        <v>0</v>
      </c>
      <c r="Y38" s="1">
        <f>'商品Database(Key保障內容）'!Y38/'商品Database(Key保障內容）'!$B38</f>
        <v>0</v>
      </c>
      <c r="Z38" s="1">
        <f>'商品Database(Key保障內容）'!Z38/'商品Database(Key保障內容）'!$B38</f>
        <v>0</v>
      </c>
      <c r="AA38" s="1">
        <f>'商品Database(Key保障內容）'!AA38/'商品Database(Key保障內容）'!$B38</f>
        <v>0</v>
      </c>
      <c r="AB38" s="1">
        <f>'商品Database(Key保障內容）'!AB38/'商品Database(Key保障內容）'!$B38</f>
        <v>0</v>
      </c>
      <c r="AC38" s="1">
        <f>'商品Database(Key保障內容）'!AC38/'商品Database(Key保障內容）'!$B38</f>
        <v>0</v>
      </c>
      <c r="AD38" s="1">
        <f>'商品Database(Key保障內容）'!AD38/'商品Database(Key保障內容）'!$B38</f>
        <v>0</v>
      </c>
      <c r="AE38" s="1">
        <f>'商品Database(Key保障內容）'!AE38/'商品Database(Key保障內容）'!$B38</f>
        <v>0</v>
      </c>
      <c r="AF38" s="1">
        <f>'商品Database(Key保障內容）'!AF38/'商品Database(Key保障內容）'!$B38</f>
        <v>0</v>
      </c>
      <c r="AG38" s="1">
        <f>'商品Database(Key保障內容）'!AG38/'商品Database(Key保障內容）'!$B38</f>
        <v>0</v>
      </c>
      <c r="AH38" s="1">
        <f>'商品Database(Key保障內容）'!AH38/'商品Database(Key保障內容）'!$B38</f>
        <v>0</v>
      </c>
      <c r="AI38" s="1">
        <f>'商品Database(Key保障內容）'!AI38/'商品Database(Key保障內容）'!$B38</f>
        <v>0</v>
      </c>
      <c r="AJ38" s="1">
        <f>'商品Database(Key保障內容）'!AJ38/'商品Database(Key保障內容）'!$B38</f>
        <v>0</v>
      </c>
      <c r="AK38" s="1">
        <f>'商品Database(Key保障內容）'!AK38/'商品Database(Key保障內容）'!$B38</f>
        <v>0</v>
      </c>
      <c r="AL38" s="1">
        <f>'商品Database(Key保障內容）'!AL38/'商品Database(Key保障內容）'!$B38</f>
        <v>0</v>
      </c>
      <c r="AM38" s="1">
        <f>'商品Database(Key保障內容）'!AM38/'商品Database(Key保障內容）'!$B38</f>
        <v>0</v>
      </c>
      <c r="AN38" s="1">
        <f>'商品Database(Key保障內容）'!AN38/'商品Database(Key保障內容）'!$B38</f>
        <v>0</v>
      </c>
    </row>
    <row r="39" spans="1:40">
      <c r="A39" s="16" t="str">
        <f>'商品Database(Key保障內容）'!A39</f>
        <v>MAJISA</v>
      </c>
      <c r="B39" s="1">
        <v>1</v>
      </c>
      <c r="C39" s="1">
        <f>'商品Database(Key保障內容）'!C39/'商品Database(Key保障內容）'!$B39</f>
        <v>1000</v>
      </c>
      <c r="D39" s="1">
        <f>'商品Database(Key保障內容）'!D39/'商品Database(Key保障內容）'!$B39</f>
        <v>2000</v>
      </c>
      <c r="E39" s="1">
        <f>'商品Database(Key保障內容）'!E39/'商品Database(Key保障內容）'!$B39</f>
        <v>0</v>
      </c>
      <c r="F39" s="1">
        <f>'商品Database(Key保障內容）'!F39/'商品Database(Key保障內容）'!$B39</f>
        <v>20000</v>
      </c>
      <c r="G39" s="1">
        <f>'商品Database(Key保障內容）'!G39/'商品Database(Key保障內容）'!$B39</f>
        <v>0</v>
      </c>
      <c r="H39" s="1">
        <f>'商品Database(Key保障內容）'!H39/'商品Database(Key保障內容）'!$B39</f>
        <v>0</v>
      </c>
      <c r="I39" s="1">
        <f>'商品Database(Key保障內容）'!I39/'商品Database(Key保障內容）'!$B39</f>
        <v>13333.333333333334</v>
      </c>
      <c r="J39" s="1">
        <f>'商品Database(Key保障內容）'!J39/'商品Database(Key保障內容）'!$B39</f>
        <v>116666.66666666667</v>
      </c>
      <c r="K39" s="1">
        <f>'商品Database(Key保障內容）'!K39/'商品Database(Key保障內容）'!$B39</f>
        <v>233333.33333333334</v>
      </c>
      <c r="L39" s="1">
        <f>'商品Database(Key保障內容）'!L39/'商品Database(Key保障內容）'!$B39</f>
        <v>0</v>
      </c>
      <c r="M39" s="1">
        <f>'商品Database(Key保障內容）'!M39/'商品Database(Key保障內容）'!$B39</f>
        <v>0</v>
      </c>
      <c r="N39" s="1">
        <f>'商品Database(Key保障內容）'!N39/'商品Database(Key保障內容）'!$B39</f>
        <v>0</v>
      </c>
      <c r="O39" s="1">
        <f>'商品Database(Key保障內容）'!O39/'商品Database(Key保障內容）'!$B39</f>
        <v>0</v>
      </c>
      <c r="P39" s="1">
        <f>'商品Database(Key保障內容）'!P39/'商品Database(Key保障內容）'!$B39</f>
        <v>0</v>
      </c>
      <c r="Q39" s="1">
        <f>'商品Database(Key保障內容）'!Q39/'商品Database(Key保障內容）'!$B39</f>
        <v>0</v>
      </c>
      <c r="R39" s="1">
        <f>'商品Database(Key保障內容）'!R39/'商品Database(Key保障內容）'!$B39</f>
        <v>0</v>
      </c>
      <c r="S39" s="1">
        <f>'商品Database(Key保障內容）'!S39/'商品Database(Key保障內容）'!$B39</f>
        <v>0</v>
      </c>
      <c r="T39" s="1">
        <f>'商品Database(Key保障內容）'!T39/'商品Database(Key保障內容）'!$B39</f>
        <v>0</v>
      </c>
      <c r="U39" s="1">
        <f>'商品Database(Key保障內容）'!U39/'商品Database(Key保障內容）'!$B39</f>
        <v>0</v>
      </c>
      <c r="V39" s="1">
        <f>'商品Database(Key保障內容）'!V39/'商品Database(Key保障內容）'!$B39</f>
        <v>0</v>
      </c>
      <c r="W39" s="1">
        <f>'商品Database(Key保障內容）'!W39/'商品Database(Key保障內容）'!$B39</f>
        <v>0</v>
      </c>
      <c r="X39" s="1">
        <f>'商品Database(Key保障內容）'!X39/'商品Database(Key保障內容）'!$B39</f>
        <v>0</v>
      </c>
      <c r="Y39" s="1">
        <f>'商品Database(Key保障內容）'!Y39/'商品Database(Key保障內容）'!$B39</f>
        <v>0</v>
      </c>
      <c r="Z39" s="1">
        <f>'商品Database(Key保障內容）'!Z39/'商品Database(Key保障內容）'!$B39</f>
        <v>0</v>
      </c>
      <c r="AA39" s="1">
        <f>'商品Database(Key保障內容）'!AA39/'商品Database(Key保障內容）'!$B39</f>
        <v>0</v>
      </c>
      <c r="AB39" s="1">
        <f>'商品Database(Key保障內容）'!AB39/'商品Database(Key保障內容）'!$B39</f>
        <v>0</v>
      </c>
      <c r="AC39" s="1">
        <f>'商品Database(Key保障內容）'!AC39/'商品Database(Key保障內容）'!$B39</f>
        <v>0</v>
      </c>
      <c r="AD39" s="1">
        <f>'商品Database(Key保障內容）'!AD39/'商品Database(Key保障內容）'!$B39</f>
        <v>0</v>
      </c>
      <c r="AE39" s="1">
        <f>'商品Database(Key保障內容）'!AE39/'商品Database(Key保障內容）'!$B39</f>
        <v>0</v>
      </c>
      <c r="AF39" s="1">
        <f>'商品Database(Key保障內容）'!AF39/'商品Database(Key保障內容）'!$B39</f>
        <v>0</v>
      </c>
      <c r="AG39" s="1">
        <f>'商品Database(Key保障內容）'!AG39/'商品Database(Key保障內容）'!$B39</f>
        <v>0</v>
      </c>
      <c r="AH39" s="1">
        <f>'商品Database(Key保障內容）'!AH39/'商品Database(Key保障內容）'!$B39</f>
        <v>0</v>
      </c>
      <c r="AI39" s="1">
        <f>'商品Database(Key保障內容）'!AI39/'商品Database(Key保障內容）'!$B39</f>
        <v>0</v>
      </c>
      <c r="AJ39" s="1">
        <f>'商品Database(Key保障內容）'!AJ39/'商品Database(Key保障內容）'!$B39</f>
        <v>0</v>
      </c>
      <c r="AK39" s="1">
        <f>'商品Database(Key保障內容）'!AK39/'商品Database(Key保障內容）'!$B39</f>
        <v>0</v>
      </c>
      <c r="AL39" s="1">
        <f>'商品Database(Key保障內容）'!AL39/'商品Database(Key保障內容）'!$B39</f>
        <v>0</v>
      </c>
      <c r="AM39" s="1">
        <f>'商品Database(Key保障內容）'!AM39/'商品Database(Key保障內容）'!$B39</f>
        <v>0</v>
      </c>
      <c r="AN39" s="1">
        <f>'商品Database(Key保障內容）'!AN39/'商品Database(Key保障內容）'!$B39</f>
        <v>0</v>
      </c>
    </row>
    <row r="40" spans="1:40">
      <c r="A40" s="16" t="str">
        <f>'商品Database(Key保障內容）'!A40</f>
        <v>MAJIEA</v>
      </c>
      <c r="B40" s="1">
        <v>500000</v>
      </c>
      <c r="C40" s="1">
        <f>'商品Database(Key保障內容）'!C40/'商品Database(Key保障內容）'!$B40</f>
        <v>0</v>
      </c>
      <c r="D40" s="1">
        <f>'商品Database(Key保障內容）'!D40/'商品Database(Key保障內容）'!$B40</f>
        <v>0</v>
      </c>
      <c r="E40" s="1">
        <f>'商品Database(Key保障內容）'!E40/'商品Database(Key保障內容）'!$B40</f>
        <v>0</v>
      </c>
      <c r="F40" s="1">
        <f>'商品Database(Key保障內容）'!F40/'商品Database(Key保障內容）'!$B40</f>
        <v>0</v>
      </c>
      <c r="G40" s="1">
        <f>'商品Database(Key保障內容）'!G40/'商品Database(Key保障內容）'!$B40</f>
        <v>0</v>
      </c>
      <c r="H40" s="1">
        <f>'商品Database(Key保障內容）'!H40/'商品Database(Key保障內容）'!$B40</f>
        <v>0</v>
      </c>
      <c r="I40" s="1">
        <f>'商品Database(Key保障內容）'!I40/'商品Database(Key保障內容）'!$B40</f>
        <v>0</v>
      </c>
      <c r="J40" s="1">
        <f>'商品Database(Key保障內容）'!J40/'商品Database(Key保障內容）'!$B40</f>
        <v>0</v>
      </c>
      <c r="K40" s="1">
        <f>'商品Database(Key保障內容）'!K40/'商品Database(Key保障內容）'!$B40</f>
        <v>0</v>
      </c>
      <c r="L40" s="1">
        <f>'商品Database(Key保障內容）'!L40/'商品Database(Key保障內容）'!$B40</f>
        <v>0</v>
      </c>
      <c r="M40" s="1">
        <f>'商品Database(Key保障內容）'!M40/'商品Database(Key保障內容）'!$B40</f>
        <v>0</v>
      </c>
      <c r="N40" s="1">
        <f>'商品Database(Key保障內容）'!N40/'商品Database(Key保障內容）'!$B40</f>
        <v>0</v>
      </c>
      <c r="O40" s="1">
        <f>'商品Database(Key保障內容）'!O40/'商品Database(Key保障內容）'!$B40</f>
        <v>0</v>
      </c>
      <c r="P40" s="1">
        <f>'商品Database(Key保障內容）'!P40/'商品Database(Key保障內容）'!$B40</f>
        <v>0</v>
      </c>
      <c r="Q40" s="1">
        <f>'商品Database(Key保障內容）'!Q40/'商品Database(Key保障內容）'!$B40</f>
        <v>0</v>
      </c>
      <c r="R40" s="1">
        <f>'商品Database(Key保障內容）'!R40/'商品Database(Key保障內容）'!$B40</f>
        <v>0</v>
      </c>
      <c r="S40" s="1">
        <f>'商品Database(Key保障內容）'!S40/'商品Database(Key保障內容）'!$B40</f>
        <v>0</v>
      </c>
      <c r="T40" s="1">
        <f>'商品Database(Key保障內容）'!T40/'商品Database(Key保障內容）'!$B40</f>
        <v>0</v>
      </c>
      <c r="U40" s="1">
        <f>'商品Database(Key保障內容）'!U40/'商品Database(Key保障內容）'!$B40</f>
        <v>0</v>
      </c>
      <c r="V40" s="1">
        <f>'商品Database(Key保障內容）'!V40/'商品Database(Key保障內容）'!$B40</f>
        <v>0</v>
      </c>
      <c r="W40" s="1">
        <f>'商品Database(Key保障內容）'!W40/'商品Database(Key保障內容）'!$B40</f>
        <v>0</v>
      </c>
      <c r="X40" s="1">
        <f>'商品Database(Key保障內容）'!X40/'商品Database(Key保障內容）'!$B40</f>
        <v>0</v>
      </c>
      <c r="Y40" s="1">
        <f>'商品Database(Key保障內容）'!Y40/'商品Database(Key保障內容）'!$B40</f>
        <v>0</v>
      </c>
      <c r="Z40" s="1">
        <f>'商品Database(Key保障內容）'!Z40/'商品Database(Key保障內容）'!$B40</f>
        <v>0</v>
      </c>
      <c r="AA40" s="1">
        <f>'商品Database(Key保障內容）'!AA40/'商品Database(Key保障內容）'!$B40</f>
        <v>0</v>
      </c>
      <c r="AB40" s="1">
        <f>'商品Database(Key保障內容）'!AB40/'商品Database(Key保障內容）'!$B40</f>
        <v>1</v>
      </c>
      <c r="AC40" s="1">
        <f>'商品Database(Key保障內容）'!AC40/'商品Database(Key保障內容）'!$B40</f>
        <v>0</v>
      </c>
      <c r="AD40" s="1">
        <f>'商品Database(Key保障內容）'!AD40/'商品Database(Key保障內容）'!$B40</f>
        <v>0</v>
      </c>
      <c r="AE40" s="1">
        <f>'商品Database(Key保障內容）'!AE40/'商品Database(Key保障內容）'!$B40</f>
        <v>0</v>
      </c>
      <c r="AF40" s="1">
        <f>'商品Database(Key保障內容）'!AF40/'商品Database(Key保障內容）'!$B40</f>
        <v>0</v>
      </c>
      <c r="AG40" s="1">
        <f>'商品Database(Key保障內容）'!AG40/'商品Database(Key保障內容）'!$B40</f>
        <v>0</v>
      </c>
      <c r="AH40" s="1">
        <f>'商品Database(Key保障內容）'!AH40/'商品Database(Key保障內容）'!$B40</f>
        <v>0</v>
      </c>
      <c r="AI40" s="1">
        <f>'商品Database(Key保障內容）'!AI40/'商品Database(Key保障內容）'!$B40</f>
        <v>0</v>
      </c>
      <c r="AJ40" s="1">
        <f>'商品Database(Key保障內容）'!AJ40/'商品Database(Key保障內容）'!$B40</f>
        <v>0</v>
      </c>
      <c r="AK40" s="1">
        <f>'商品Database(Key保障內容）'!AK40/'商品Database(Key保障內容）'!$B40</f>
        <v>0</v>
      </c>
      <c r="AL40" s="1">
        <f>'商品Database(Key保障內容）'!AL40/'商品Database(Key保障內容）'!$B40</f>
        <v>0</v>
      </c>
      <c r="AM40" s="1">
        <f>'商品Database(Key保障內容）'!AM40/'商品Database(Key保障內容）'!$B40</f>
        <v>0</v>
      </c>
      <c r="AN40" s="1">
        <f>'商品Database(Key保障內容）'!AN40/'商品Database(Key保障內容）'!$B40</f>
        <v>0</v>
      </c>
    </row>
    <row r="41" spans="1:40">
      <c r="A41" s="16" t="str">
        <f>'商品Database(Key保障內容）'!A41</f>
        <v>MAJIXA</v>
      </c>
      <c r="B41" s="1">
        <v>500000</v>
      </c>
      <c r="C41" s="1">
        <f>'商品Database(Key保障內容）'!C41/'商品Database(Key保障內容）'!$B41</f>
        <v>0</v>
      </c>
      <c r="D41" s="1">
        <f>'商品Database(Key保障內容）'!D41/'商品Database(Key保障內容）'!$B41</f>
        <v>0</v>
      </c>
      <c r="E41" s="1">
        <f>'商品Database(Key保障內容）'!E41/'商品Database(Key保障內容）'!$B41</f>
        <v>0</v>
      </c>
      <c r="F41" s="1">
        <f>'商品Database(Key保障內容）'!F41/'商品Database(Key保障內容）'!$B41</f>
        <v>0</v>
      </c>
      <c r="G41" s="1">
        <f>'商品Database(Key保障內容）'!G41/'商品Database(Key保障內容）'!$B41</f>
        <v>0</v>
      </c>
      <c r="H41" s="1">
        <f>'商品Database(Key保障內容）'!H41/'商品Database(Key保障內容）'!$B41</f>
        <v>0</v>
      </c>
      <c r="I41" s="1">
        <f>'商品Database(Key保障內容）'!I41/'商品Database(Key保障內容）'!$B41</f>
        <v>0</v>
      </c>
      <c r="J41" s="1">
        <f>'商品Database(Key保障內容）'!J41/'商品Database(Key保障內容）'!$B41</f>
        <v>0</v>
      </c>
      <c r="K41" s="1">
        <f>'商品Database(Key保障內容）'!K41/'商品Database(Key保障內容）'!$B41</f>
        <v>0</v>
      </c>
      <c r="L41" s="1">
        <f>'商品Database(Key保障內容）'!L41/'商品Database(Key保障內容）'!$B41</f>
        <v>0</v>
      </c>
      <c r="M41" s="1">
        <f>'商品Database(Key保障內容）'!M41/'商品Database(Key保障內容）'!$B41</f>
        <v>0</v>
      </c>
      <c r="N41" s="1">
        <f>'商品Database(Key保障內容）'!N41/'商品Database(Key保障內容）'!$B41</f>
        <v>0</v>
      </c>
      <c r="O41" s="1">
        <f>'商品Database(Key保障內容）'!O41/'商品Database(Key保障內容）'!$B41</f>
        <v>0</v>
      </c>
      <c r="P41" s="1">
        <f>'商品Database(Key保障內容）'!P41/'商品Database(Key保障內容）'!$B41</f>
        <v>0</v>
      </c>
      <c r="Q41" s="1">
        <f>'商品Database(Key保障內容）'!Q41/'商品Database(Key保障內容）'!$B41</f>
        <v>0</v>
      </c>
      <c r="R41" s="1">
        <f>'商品Database(Key保障內容）'!R41/'商品Database(Key保障內容）'!$B41</f>
        <v>0</v>
      </c>
      <c r="S41" s="1">
        <f>'商品Database(Key保障內容）'!S41/'商品Database(Key保障內容）'!$B41</f>
        <v>0</v>
      </c>
      <c r="T41" s="1">
        <f>'商品Database(Key保障內容）'!T41/'商品Database(Key保障內容）'!$B41</f>
        <v>1</v>
      </c>
      <c r="U41" s="1">
        <f>'商品Database(Key保障內容）'!U41/'商品Database(Key保障內容）'!$B41</f>
        <v>0</v>
      </c>
      <c r="V41" s="1">
        <f>'商品Database(Key保障內容）'!V41/'商品Database(Key保障內容）'!$B41</f>
        <v>0</v>
      </c>
      <c r="W41" s="1">
        <f>'商品Database(Key保障內容）'!W41/'商品Database(Key保障內容）'!$B41</f>
        <v>0</v>
      </c>
      <c r="X41" s="1">
        <f>'商品Database(Key保障內容）'!X41/'商品Database(Key保障內容）'!$B41</f>
        <v>0</v>
      </c>
      <c r="Y41" s="1">
        <f>'商品Database(Key保障內容）'!Y41/'商品Database(Key保障內容）'!$B41</f>
        <v>0</v>
      </c>
      <c r="Z41" s="1">
        <f>'商品Database(Key保障內容）'!Z41/'商品Database(Key保障內容）'!$B41</f>
        <v>0</v>
      </c>
      <c r="AA41" s="1">
        <f>'商品Database(Key保障內容）'!AA41/'商品Database(Key保障內容）'!$B41</f>
        <v>0</v>
      </c>
      <c r="AB41" s="1">
        <f>'商品Database(Key保障內容）'!AB41/'商品Database(Key保障內容）'!$B41</f>
        <v>0</v>
      </c>
      <c r="AC41" s="1">
        <f>'商品Database(Key保障內容）'!AC41/'商品Database(Key保障內容）'!$B41</f>
        <v>0</v>
      </c>
      <c r="AD41" s="1">
        <f>'商品Database(Key保障內容）'!AD41/'商品Database(Key保障內容）'!$B41</f>
        <v>0</v>
      </c>
      <c r="AE41" s="1">
        <f>'商品Database(Key保障內容）'!AE41/'商品Database(Key保障內容）'!$B41</f>
        <v>0</v>
      </c>
      <c r="AF41" s="1">
        <f>'商品Database(Key保障內容）'!AF41/'商品Database(Key保障內容）'!$B41</f>
        <v>0</v>
      </c>
      <c r="AG41" s="1">
        <f>'商品Database(Key保障內容）'!AG41/'商品Database(Key保障內容）'!$B41</f>
        <v>0</v>
      </c>
      <c r="AH41" s="1">
        <f>'商品Database(Key保障內容）'!AH41/'商品Database(Key保障內容）'!$B41</f>
        <v>0</v>
      </c>
      <c r="AI41" s="1">
        <f>'商品Database(Key保障內容）'!AI41/'商品Database(Key保障內容）'!$B41</f>
        <v>0</v>
      </c>
      <c r="AJ41" s="1">
        <f>'商品Database(Key保障內容）'!AJ41/'商品Database(Key保障內容）'!$B41</f>
        <v>0</v>
      </c>
      <c r="AK41" s="1">
        <f>'商品Database(Key保障內容）'!AK41/'商品Database(Key保障內容）'!$B41</f>
        <v>0</v>
      </c>
      <c r="AL41" s="1">
        <f>'商品Database(Key保障內容）'!AL41/'商品Database(Key保障內容）'!$B41</f>
        <v>0</v>
      </c>
      <c r="AM41" s="1">
        <f>'商品Database(Key保障內容）'!AM41/'商品Database(Key保障內容）'!$B41</f>
        <v>0</v>
      </c>
      <c r="AN41" s="1">
        <f>'商品Database(Key保障內容）'!AN41/'商品Database(Key保障內容）'!$B41</f>
        <v>0</v>
      </c>
    </row>
    <row r="42" spans="1:40">
      <c r="A42" s="16" t="str">
        <f>'商品Database(Key保障內容）'!A42</f>
        <v>OCH</v>
      </c>
      <c r="B42" s="1">
        <v>30</v>
      </c>
      <c r="C42" s="1">
        <f>'商品Database(Key保障內容）'!C42/'商品Database(Key保障內容）'!$B42</f>
        <v>100</v>
      </c>
      <c r="D42" s="1">
        <f>'商品Database(Key保障內容）'!D42/'商品Database(Key保障內容）'!$B42</f>
        <v>100</v>
      </c>
      <c r="E42" s="1">
        <f>'商品Database(Key保障內容）'!E42/'商品Database(Key保障內容）'!$B42</f>
        <v>0</v>
      </c>
      <c r="F42" s="1">
        <f>'商品Database(Key保障內容）'!F42/'商品Database(Key保障內容）'!$B42</f>
        <v>3000</v>
      </c>
      <c r="G42" s="1">
        <f>'商品Database(Key保障內容）'!G42/'商品Database(Key保障內容）'!$B42</f>
        <v>0</v>
      </c>
      <c r="H42" s="1">
        <f>'商品Database(Key保障內容）'!H42/'商品Database(Key保障內容）'!$B42</f>
        <v>0</v>
      </c>
      <c r="I42" s="1">
        <f>'商品Database(Key保障內容）'!I42/'商品Database(Key保障內容）'!$B42</f>
        <v>3000</v>
      </c>
      <c r="J42" s="1">
        <f>'商品Database(Key保障內容）'!J42/'商品Database(Key保障內容）'!$B42</f>
        <v>6000</v>
      </c>
      <c r="K42" s="1">
        <f>'商品Database(Key保障內容）'!K42/'商品Database(Key保障內容）'!$B42</f>
        <v>30000</v>
      </c>
      <c r="L42" s="1">
        <f>'商品Database(Key保障內容）'!L42/'商品Database(Key保障內容）'!$B42</f>
        <v>0</v>
      </c>
      <c r="M42" s="1">
        <f>'商品Database(Key保障內容）'!M42/'商品Database(Key保障內容）'!$B42</f>
        <v>0</v>
      </c>
      <c r="N42" s="1">
        <f>'商品Database(Key保障內容）'!N42/'商品Database(Key保障內容）'!$B42</f>
        <v>0</v>
      </c>
      <c r="O42" s="1">
        <f>'商品Database(Key保障內容）'!O42/'商品Database(Key保障內容）'!$B42</f>
        <v>0</v>
      </c>
      <c r="P42" s="1">
        <f>'商品Database(Key保障內容）'!P42/'商品Database(Key保障內容）'!$B42</f>
        <v>0</v>
      </c>
      <c r="Q42" s="1">
        <f>'商品Database(Key保障內容）'!Q42/'商品Database(Key保障內容）'!$B42</f>
        <v>0</v>
      </c>
      <c r="R42" s="1">
        <f>'商品Database(Key保障內容）'!R42/'商品Database(Key保障內容）'!$B42</f>
        <v>0</v>
      </c>
      <c r="S42" s="1">
        <f>'商品Database(Key保障內容）'!S42/'商品Database(Key保障內容）'!$B42</f>
        <v>0</v>
      </c>
      <c r="T42" s="1">
        <f>'商品Database(Key保障內容）'!T42/'商品Database(Key保障內容）'!$B42</f>
        <v>0</v>
      </c>
      <c r="U42" s="1">
        <f>'商品Database(Key保障內容）'!U42/'商品Database(Key保障內容）'!$B42</f>
        <v>0</v>
      </c>
      <c r="V42" s="1">
        <f>'商品Database(Key保障內容）'!V42/'商品Database(Key保障內容）'!$B42</f>
        <v>0</v>
      </c>
      <c r="W42" s="1">
        <f>'商品Database(Key保障內容）'!W42/'商品Database(Key保障內容）'!$B42</f>
        <v>0</v>
      </c>
      <c r="X42" s="1">
        <f>'商品Database(Key保障內容）'!X42/'商品Database(Key保障內容）'!$B42</f>
        <v>0</v>
      </c>
      <c r="Y42" s="1">
        <f>'商品Database(Key保障內容）'!Y42/'商品Database(Key保障內容）'!$B42</f>
        <v>0</v>
      </c>
      <c r="Z42" s="1">
        <f>'商品Database(Key保障內容）'!Z42/'商品Database(Key保障內容）'!$B42</f>
        <v>0</v>
      </c>
      <c r="AA42" s="1">
        <f>'商品Database(Key保障內容）'!AA42/'商品Database(Key保障內容）'!$B42</f>
        <v>0</v>
      </c>
      <c r="AB42" s="1">
        <f>'商品Database(Key保障內容）'!AB42/'商品Database(Key保障內容）'!$B42</f>
        <v>0</v>
      </c>
      <c r="AC42" s="1">
        <f>'商品Database(Key保障內容）'!AC42/'商品Database(Key保障內容）'!$B42</f>
        <v>0</v>
      </c>
      <c r="AD42" s="1">
        <f>'商品Database(Key保障內容）'!AD42/'商品Database(Key保障內容）'!$B42</f>
        <v>0</v>
      </c>
      <c r="AE42" s="1">
        <f>'商品Database(Key保障內容）'!AE42/'商品Database(Key保障內容）'!$B42</f>
        <v>0</v>
      </c>
      <c r="AF42" s="1">
        <f>'商品Database(Key保障內容）'!AF42/'商品Database(Key保障內容）'!$B42</f>
        <v>0</v>
      </c>
      <c r="AG42" s="1">
        <f>'商品Database(Key保障內容）'!AG42/'商品Database(Key保障內容）'!$B42</f>
        <v>0</v>
      </c>
      <c r="AH42" s="1">
        <f>'商品Database(Key保障內容）'!AH42/'商品Database(Key保障內容）'!$B42</f>
        <v>0</v>
      </c>
      <c r="AI42" s="1">
        <f>'商品Database(Key保障內容）'!AI42/'商品Database(Key保障內容）'!$B42</f>
        <v>0</v>
      </c>
      <c r="AJ42" s="1">
        <f>'商品Database(Key保障內容）'!AJ42/'商品Database(Key保障內容）'!$B42</f>
        <v>0</v>
      </c>
      <c r="AK42" s="1">
        <f>'商品Database(Key保障內容）'!AK42/'商品Database(Key保障內容）'!$B42</f>
        <v>0</v>
      </c>
      <c r="AL42" s="1">
        <f>'商品Database(Key保障內容）'!AL42/'商品Database(Key保障內容）'!$B42</f>
        <v>0</v>
      </c>
      <c r="AM42" s="1">
        <f>'商品Database(Key保障內容）'!AM42/'商品Database(Key保障內容）'!$B42</f>
        <v>0</v>
      </c>
      <c r="AN42" s="1">
        <f>'商品Database(Key保障內容）'!AN42/'商品Database(Key保障內容）'!$B42</f>
        <v>0</v>
      </c>
    </row>
    <row r="43" spans="1:40">
      <c r="A43" s="16" t="str">
        <f>'商品Database(Key保障內容）'!A43</f>
        <v>LEGOHF</v>
      </c>
      <c r="B43" s="1">
        <v>12</v>
      </c>
      <c r="C43" s="1">
        <f>'商品Database(Key保障內容）'!C43/'商品Database(Key保障內容）'!$B43</f>
        <v>0</v>
      </c>
      <c r="D43" s="1">
        <f>'商品Database(Key保障內容）'!D43/'商品Database(Key保障內容）'!$B43</f>
        <v>0</v>
      </c>
      <c r="E43" s="1">
        <f>'商品Database(Key保障內容）'!E43/'商品Database(Key保障內容）'!$B43</f>
        <v>0</v>
      </c>
      <c r="F43" s="1">
        <f>'商品Database(Key保障內容）'!F43/'商品Database(Key保障內容）'!$B43</f>
        <v>0</v>
      </c>
      <c r="G43" s="1">
        <f>'商品Database(Key保障內容）'!G43/'商品Database(Key保障內容）'!$B43</f>
        <v>0</v>
      </c>
      <c r="H43" s="1">
        <f>'商品Database(Key保障內容）'!H43/'商品Database(Key保障內容）'!$B43</f>
        <v>0</v>
      </c>
      <c r="I43" s="1">
        <f>'商品Database(Key保障內容）'!I43/'商品Database(Key保障內容）'!$B43</f>
        <v>0</v>
      </c>
      <c r="J43" s="1">
        <f>'商品Database(Key保障內容）'!J43/'商品Database(Key保障內容）'!$B43</f>
        <v>0</v>
      </c>
      <c r="K43" s="1">
        <f>'商品Database(Key保障內容）'!K43/'商品Database(Key保障內容）'!$B43</f>
        <v>0</v>
      </c>
      <c r="L43" s="1">
        <f>'商品Database(Key保障內容）'!L43/'商品Database(Key保障內容）'!$B43</f>
        <v>0</v>
      </c>
      <c r="M43" s="1">
        <f>'商品Database(Key保障內容）'!M43/'商品Database(Key保障內容）'!$B43</f>
        <v>0</v>
      </c>
      <c r="N43" s="1">
        <f>'商品Database(Key保障內容）'!N43/'商品Database(Key保障內容）'!$B43</f>
        <v>0</v>
      </c>
      <c r="O43" s="1">
        <f>'商品Database(Key保障內容）'!O43/'商品Database(Key保障內容）'!$B43</f>
        <v>0</v>
      </c>
      <c r="P43" s="1">
        <f>'商品Database(Key保障內容）'!P43/'商品Database(Key保障內容）'!$B43</f>
        <v>0</v>
      </c>
      <c r="Q43" s="1">
        <f>'商品Database(Key保障內容）'!Q43/'商品Database(Key保障內容）'!$B43</f>
        <v>0</v>
      </c>
      <c r="R43" s="1">
        <f>'商品Database(Key保障內容）'!R43/'商品Database(Key保障內容）'!$B43</f>
        <v>0</v>
      </c>
      <c r="S43" s="1">
        <f>'商品Database(Key保障內容）'!S43/'商品Database(Key保障內容）'!$B43</f>
        <v>0</v>
      </c>
      <c r="T43" s="1">
        <f>'商品Database(Key保障內容）'!T43/'商品Database(Key保障內容）'!$B43</f>
        <v>0</v>
      </c>
      <c r="U43" s="1">
        <f>'商品Database(Key保障內容）'!U43/'商品Database(Key保障內容）'!$B43</f>
        <v>0</v>
      </c>
      <c r="V43" s="1">
        <f>'商品Database(Key保障內容）'!V43/'商品Database(Key保障內容）'!$B43</f>
        <v>0</v>
      </c>
      <c r="W43" s="1">
        <f>'商品Database(Key保障內容）'!W43/'商品Database(Key保障內容）'!$B43</f>
        <v>0</v>
      </c>
      <c r="X43" s="1">
        <f>'商品Database(Key保障內容）'!X43/'商品Database(Key保障內容）'!$B43</f>
        <v>0</v>
      </c>
      <c r="Y43" s="1">
        <f>'商品Database(Key保障內容）'!Y43/'商品Database(Key保障內容）'!$B43</f>
        <v>0</v>
      </c>
      <c r="Z43" s="1">
        <f>'商品Database(Key保障內容）'!Z43/'商品Database(Key保障內容）'!$B43</f>
        <v>0</v>
      </c>
      <c r="AA43" s="1">
        <f>'商品Database(Key保障內容）'!AA43/'商品Database(Key保障內容）'!$B43</f>
        <v>0</v>
      </c>
      <c r="AB43" s="1">
        <f>'商品Database(Key保障內容）'!AB43/'商品Database(Key保障內容）'!$B43</f>
        <v>0</v>
      </c>
      <c r="AC43" s="1">
        <f>'商品Database(Key保障內容）'!AC43/'商品Database(Key保障內容）'!$B43</f>
        <v>1</v>
      </c>
      <c r="AD43" s="1">
        <f>'商品Database(Key保障內容）'!AD43/'商品Database(Key保障內容）'!$B43</f>
        <v>1</v>
      </c>
      <c r="AE43" s="1">
        <f>'商品Database(Key保障內容）'!AE43/'商品Database(Key保障內容）'!$B43</f>
        <v>8.3333333333333329E-2</v>
      </c>
      <c r="AF43" s="1">
        <f>'商品Database(Key保障內容）'!AF43/'商品Database(Key保障內容）'!$B43</f>
        <v>8.3333333333333329E-2</v>
      </c>
      <c r="AG43" s="1">
        <f>'商品Database(Key保障內容）'!AG43/'商品Database(Key保障內容）'!$B43</f>
        <v>0</v>
      </c>
      <c r="AH43" s="1">
        <f>'商品Database(Key保障內容）'!AH43/'商品Database(Key保障內容）'!$B43</f>
        <v>0</v>
      </c>
      <c r="AI43" s="1">
        <f>'商品Database(Key保障內容）'!AI43/'商品Database(Key保障內容）'!$B43</f>
        <v>0</v>
      </c>
      <c r="AJ43" s="1">
        <f>'商品Database(Key保障內容）'!AJ43/'商品Database(Key保障內容）'!$B43</f>
        <v>8.3333333333333329E-2</v>
      </c>
      <c r="AK43" s="1">
        <f>'商品Database(Key保障內容）'!AK43/'商品Database(Key保障內容）'!$B43</f>
        <v>0</v>
      </c>
      <c r="AL43" s="1">
        <f>'商品Database(Key保障內容）'!AL43/'商品Database(Key保障內容）'!$B43</f>
        <v>0</v>
      </c>
      <c r="AM43" s="1">
        <f>'商品Database(Key保障內容）'!AM43/'商品Database(Key保障內容）'!$B43</f>
        <v>8.3333333333333329E-2</v>
      </c>
      <c r="AN43" s="1">
        <f>'商品Database(Key保障內容）'!AN43/'商品Database(Key保障內容）'!$B43</f>
        <v>8.3333333333333329E-2</v>
      </c>
    </row>
    <row r="44" spans="1:40">
      <c r="A44" s="16" t="s">
        <v>152</v>
      </c>
      <c r="B44" s="1">
        <v>10000</v>
      </c>
      <c r="C44" s="1">
        <f>'商品Database(Key保障內容）'!C44/'商品Database(Key保障內容）'!$B44</f>
        <v>0</v>
      </c>
      <c r="D44" s="1">
        <f>'商品Database(Key保障內容）'!D44/'商品Database(Key保障內容）'!$B44</f>
        <v>0</v>
      </c>
      <c r="E44" s="1">
        <f>'商品Database(Key保障內容）'!E44/'商品Database(Key保障內容）'!$B44</f>
        <v>0</v>
      </c>
      <c r="F44" s="1">
        <f>'商品Database(Key保障內容）'!F44/'商品Database(Key保障內容）'!$B44</f>
        <v>0</v>
      </c>
      <c r="G44" s="1">
        <f>'商品Database(Key保障內容）'!G44/'商品Database(Key保障內容）'!$B44</f>
        <v>0</v>
      </c>
      <c r="H44" s="1">
        <f>'商品Database(Key保障內容）'!H44/'商品Database(Key保障內容）'!$B44</f>
        <v>0</v>
      </c>
      <c r="I44" s="1">
        <f>'商品Database(Key保障內容）'!I44/'商品Database(Key保障內容）'!$B44</f>
        <v>0</v>
      </c>
      <c r="J44" s="1">
        <f>'商品Database(Key保障內容）'!J44/'商品Database(Key保障內容）'!$B44</f>
        <v>0</v>
      </c>
      <c r="K44" s="1">
        <f>'商品Database(Key保障內容）'!K44/'商品Database(Key保障內容）'!$B44</f>
        <v>0</v>
      </c>
      <c r="L44" s="1">
        <f>'商品Database(Key保障內容）'!L44/'商品Database(Key保障內容）'!$B44</f>
        <v>0</v>
      </c>
      <c r="M44" s="1">
        <f>'商品Database(Key保障內容）'!M44/'商品Database(Key保障內容）'!$B44</f>
        <v>0</v>
      </c>
      <c r="N44" s="1">
        <f>'商品Database(Key保障內容）'!N44/'商品Database(Key保障內容）'!$B44</f>
        <v>0</v>
      </c>
      <c r="O44" s="1">
        <f>'商品Database(Key保障內容）'!O44/'商品Database(Key保障內容）'!$B44</f>
        <v>0</v>
      </c>
      <c r="P44" s="1">
        <f>'商品Database(Key保障內容）'!P44/'商品Database(Key保障內容）'!$B44</f>
        <v>0</v>
      </c>
      <c r="Q44" s="1">
        <f>'商品Database(Key保障內容）'!Q44/'商品Database(Key保障內容）'!$B44</f>
        <v>0</v>
      </c>
      <c r="R44" s="1">
        <f>'商品Database(Key保障內容）'!R44/'商品Database(Key保障內容）'!$B44</f>
        <v>0</v>
      </c>
      <c r="S44" s="1">
        <f>'商品Database(Key保障內容）'!S44/'商品Database(Key保障內容）'!$B44</f>
        <v>0</v>
      </c>
      <c r="T44" s="1">
        <f>'商品Database(Key保障內容）'!T44/'商品Database(Key保障內容）'!$B44</f>
        <v>0</v>
      </c>
      <c r="U44" s="1">
        <f>'商品Database(Key保障內容）'!U44/'商品Database(Key保障內容）'!$B44</f>
        <v>0</v>
      </c>
      <c r="V44" s="1">
        <f>'商品Database(Key保障內容）'!V44/'商品Database(Key保障內容）'!$B44</f>
        <v>0</v>
      </c>
      <c r="W44" s="1">
        <f>'商品Database(Key保障內容）'!W44/'商品Database(Key保障內容）'!$B44</f>
        <v>0</v>
      </c>
      <c r="X44" s="1">
        <f>'商品Database(Key保障內容）'!X44/'商品Database(Key保障內容）'!$B44</f>
        <v>0</v>
      </c>
      <c r="Y44" s="1">
        <f>'商品Database(Key保障內容）'!Y44/'商品Database(Key保障內容）'!$B44</f>
        <v>0</v>
      </c>
      <c r="Z44" s="1">
        <f>'商品Database(Key保障內容）'!Z44/'商品Database(Key保障內容）'!$B44</f>
        <v>0</v>
      </c>
      <c r="AA44" s="1">
        <f>'商品Database(Key保障內容）'!AA44/'商品Database(Key保障內容）'!$B44</f>
        <v>0</v>
      </c>
      <c r="AB44" s="1">
        <f>'商品Database(Key保障內容）'!AB44/'商品Database(Key保障內容）'!$B44</f>
        <v>0</v>
      </c>
      <c r="AC44" s="1">
        <f>'商品Database(Key保障內容）'!AC44/'商品Database(Key保障內容）'!$B44</f>
        <v>6</v>
      </c>
      <c r="AD44" s="1">
        <f>'商品Database(Key保障內容）'!AD44/'商品Database(Key保障內容）'!$B44</f>
        <v>6</v>
      </c>
      <c r="AE44" s="1">
        <f>'商品Database(Key保障內容）'!AE44/'商品Database(Key保障內容）'!$B44</f>
        <v>1</v>
      </c>
      <c r="AF44" s="1">
        <f>'商品Database(Key保障內容）'!AF44/'商品Database(Key保障內容）'!$B44</f>
        <v>1</v>
      </c>
      <c r="AG44" s="1">
        <f>'商品Database(Key保障內容）'!AG44/'商品Database(Key保障內容）'!$B44</f>
        <v>0</v>
      </c>
      <c r="AH44" s="1">
        <f>'商品Database(Key保障內容）'!AH44/'商品Database(Key保障內容）'!$B44</f>
        <v>0</v>
      </c>
      <c r="AI44" s="1">
        <f>'商品Database(Key保障內容）'!AI44/'商品Database(Key保障內容）'!$B44</f>
        <v>0</v>
      </c>
      <c r="AJ44" s="1">
        <f>'商品Database(Key保障內容）'!AJ44/'商品Database(Key保障內容）'!$B44</f>
        <v>1</v>
      </c>
      <c r="AK44" s="1">
        <f>'商品Database(Key保障內容）'!AK44/'商品Database(Key保障內容）'!$B44</f>
        <v>0</v>
      </c>
      <c r="AL44" s="1">
        <f>'商品Database(Key保障內容）'!AL44/'商品Database(Key保障內容）'!$B44</f>
        <v>0</v>
      </c>
      <c r="AM44" s="1">
        <f>'商品Database(Key保障內容）'!AM44/'商品Database(Key保障內容）'!$B44</f>
        <v>1</v>
      </c>
      <c r="AN44" s="1">
        <f>'商品Database(Key保障內容）'!AN44/'商品Database(Key保障內容）'!$B44</f>
        <v>1</v>
      </c>
    </row>
    <row r="45" spans="1:40">
      <c r="A45" s="16" t="s">
        <v>151</v>
      </c>
      <c r="B45" s="1">
        <v>500</v>
      </c>
      <c r="C45" s="1">
        <f>'商品Database(Key保障內容）'!C45/'商品Database(Key保障內容）'!$B45</f>
        <v>1</v>
      </c>
      <c r="D45" s="1">
        <f>'商品Database(Key保障內容）'!D45/'商品Database(Key保障內容）'!$B45</f>
        <v>3</v>
      </c>
      <c r="E45" s="1">
        <f>'商品Database(Key保障內容）'!E45/'商品Database(Key保障內容）'!$B45</f>
        <v>1</v>
      </c>
      <c r="F45" s="1">
        <f>'商品Database(Key保障內容）'!F45/'商品Database(Key保障內容）'!$B45</f>
        <v>0</v>
      </c>
      <c r="G45" s="1">
        <f>'商品Database(Key保障內容）'!G45/'商品Database(Key保障內容）'!$B45</f>
        <v>5</v>
      </c>
      <c r="H45" s="1">
        <f>'商品Database(Key保障內容）'!H45/'商品Database(Key保障內容）'!$B45</f>
        <v>1</v>
      </c>
      <c r="I45" s="1">
        <f>'商品Database(Key保障內容）'!I45/'商品Database(Key保障內容）'!$B45</f>
        <v>0</v>
      </c>
      <c r="J45" s="1">
        <f>'商品Database(Key保障內容）'!J45/'商品Database(Key保障內容）'!$B45</f>
        <v>0</v>
      </c>
      <c r="K45" s="1">
        <f>'商品Database(Key保障內容）'!K45/'商品Database(Key保障內容）'!$B45</f>
        <v>0</v>
      </c>
      <c r="L45" s="1">
        <f>'商品Database(Key保障內容）'!L45/'商品Database(Key保障內容）'!$B45</f>
        <v>0</v>
      </c>
      <c r="M45" s="1">
        <f>'商品Database(Key保障內容）'!M45/'商品Database(Key保障內容）'!$B45</f>
        <v>0</v>
      </c>
      <c r="N45" s="1">
        <f>'商品Database(Key保障內容）'!N45/'商品Database(Key保障內容）'!$B45</f>
        <v>0</v>
      </c>
      <c r="O45" s="1">
        <f>'商品Database(Key保障內容）'!O45/'商品Database(Key保障內容）'!$B45</f>
        <v>0</v>
      </c>
      <c r="P45" s="1">
        <f>'商品Database(Key保障內容）'!P45/'商品Database(Key保障內容）'!$B45</f>
        <v>0</v>
      </c>
      <c r="Q45" s="1">
        <f>'商品Database(Key保障內容）'!Q45/'商品Database(Key保障內容）'!$B45</f>
        <v>0</v>
      </c>
      <c r="R45" s="1">
        <f>'商品Database(Key保障內容）'!R45/'商品Database(Key保障內容）'!$B45</f>
        <v>0</v>
      </c>
      <c r="S45" s="1">
        <f>'商品Database(Key保障內容）'!S45/'商品Database(Key保障內容）'!$B45</f>
        <v>0</v>
      </c>
      <c r="T45" s="1">
        <f>'商品Database(Key保障內容）'!T45/'商品Database(Key保障內容）'!$B45</f>
        <v>-50</v>
      </c>
      <c r="U45" s="1">
        <f>'商品Database(Key保障內容）'!U45/'商品Database(Key保障內容）'!$B45</f>
        <v>0</v>
      </c>
      <c r="V45" s="1">
        <f>'商品Database(Key保障內容）'!V45/'商品Database(Key保障內容）'!$B45</f>
        <v>0</v>
      </c>
      <c r="W45" s="1">
        <f>'商品Database(Key保障內容）'!W45/'商品Database(Key保障內容）'!$B45</f>
        <v>0</v>
      </c>
      <c r="X45" s="1">
        <f>'商品Database(Key保障內容）'!X45/'商品Database(Key保障內容）'!$B45</f>
        <v>0</v>
      </c>
      <c r="Y45" s="1">
        <f>'商品Database(Key保障內容）'!Y45/'商品Database(Key保障內容）'!$B45</f>
        <v>0</v>
      </c>
      <c r="Z45" s="1">
        <f>'商品Database(Key保障內容）'!Z45/'商品Database(Key保障內容）'!$B45</f>
        <v>0</v>
      </c>
      <c r="AA45" s="1">
        <f>'商品Database(Key保障內容）'!AA45/'商品Database(Key保障內容）'!$B45</f>
        <v>0</v>
      </c>
      <c r="AB45" s="1">
        <f>'商品Database(Key保障內容）'!AB45/'商品Database(Key保障內容）'!$B45</f>
        <v>50</v>
      </c>
      <c r="AC45" s="1">
        <f>'商品Database(Key保障內容）'!AC45/'商品Database(Key保障內容）'!$B45</f>
        <v>0</v>
      </c>
      <c r="AD45" s="1">
        <f>'商品Database(Key保障內容）'!AD45/'商品Database(Key保障內容）'!$B45</f>
        <v>0</v>
      </c>
      <c r="AE45" s="1">
        <f>'商品Database(Key保障內容）'!AE45/'商品Database(Key保障內容）'!$B45</f>
        <v>0</v>
      </c>
      <c r="AF45" s="1">
        <f>'商品Database(Key保障內容）'!AF45/'商品Database(Key保障內容）'!$B45</f>
        <v>0</v>
      </c>
      <c r="AG45" s="1">
        <f>'商品Database(Key保障內容）'!AG45/'商品Database(Key保障內容）'!$B45</f>
        <v>0</v>
      </c>
      <c r="AH45" s="1">
        <f>'商品Database(Key保障內容）'!AH45/'商品Database(Key保障內容）'!$B45</f>
        <v>0</v>
      </c>
      <c r="AI45" s="1">
        <f>'商品Database(Key保障內容）'!AI45/'商品Database(Key保障內容）'!$B45</f>
        <v>0</v>
      </c>
      <c r="AJ45" s="1">
        <f>'商品Database(Key保障內容）'!AJ45/'商品Database(Key保障內容）'!$B45</f>
        <v>0</v>
      </c>
      <c r="AK45" s="1">
        <f>'商品Database(Key保障內容）'!AK45/'商品Database(Key保障內容）'!$B45</f>
        <v>0</v>
      </c>
      <c r="AL45" s="1">
        <f>'商品Database(Key保障內容）'!AL45/'商品Database(Key保障內容）'!$B45</f>
        <v>0</v>
      </c>
      <c r="AM45" s="1">
        <f>'商品Database(Key保障內容）'!AM45/'商品Database(Key保障內容）'!$B45</f>
        <v>0</v>
      </c>
      <c r="AN45" s="1">
        <f>'商品Database(Key保障內容）'!AN45/'商品Database(Key保障內容）'!$B45</f>
        <v>0</v>
      </c>
    </row>
    <row r="46" spans="1:40">
      <c r="A46" s="16" t="s">
        <v>135</v>
      </c>
      <c r="B46" s="1">
        <v>1000</v>
      </c>
      <c r="C46" s="1">
        <f>'商品Database(Key保障內容）'!C46/'商品Database(Key保障內容）'!$B46</f>
        <v>0</v>
      </c>
      <c r="D46" s="1">
        <f>'商品Database(Key保障內容）'!D46/'商品Database(Key保障內容）'!$B46</f>
        <v>0</v>
      </c>
      <c r="E46" s="1">
        <v>1</v>
      </c>
      <c r="F46" s="1">
        <f>'商品Database(Key保障內容）'!F46/'商品Database(Key保障內容）'!$B46</f>
        <v>0</v>
      </c>
      <c r="G46" s="1">
        <f>'商品Database(Key保障內容）'!G46/'商品Database(Key保障內容）'!$B46</f>
        <v>0</v>
      </c>
      <c r="H46" s="1">
        <v>1</v>
      </c>
      <c r="I46" s="1">
        <f>'商品Database(Key保障內容）'!I46/'商品Database(Key保障內容）'!$B46</f>
        <v>0</v>
      </c>
      <c r="J46" s="1">
        <f>'商品Database(Key保障內容）'!J46/'商品Database(Key保障內容）'!$B46</f>
        <v>0</v>
      </c>
      <c r="K46" s="1">
        <f>'商品Database(Key保障內容）'!K46/'商品Database(Key保障內容）'!$B46</f>
        <v>0</v>
      </c>
      <c r="L46" s="1">
        <f>'商品Database(Key保障內容）'!L46/'商品Database(Key保障內容）'!$B46</f>
        <v>0</v>
      </c>
      <c r="M46" s="1">
        <f>'商品Database(Key保障內容）'!M46/'商品Database(Key保障內容）'!$B46</f>
        <v>0</v>
      </c>
      <c r="N46" s="1">
        <f>'商品Database(Key保障內容）'!N46/'商品Database(Key保障內容）'!$B46</f>
        <v>0</v>
      </c>
      <c r="O46" s="1">
        <f>'商品Database(Key保障內容）'!O46/'商品Database(Key保障內容）'!$B46</f>
        <v>0</v>
      </c>
      <c r="P46" s="1">
        <f>'商品Database(Key保障內容）'!P46/'商品Database(Key保障內容）'!$B46</f>
        <v>0</v>
      </c>
      <c r="Q46" s="1">
        <f>'商品Database(Key保障內容）'!Q46/'商品Database(Key保障內容）'!$B46</f>
        <v>0</v>
      </c>
      <c r="R46" s="1">
        <f>'商品Database(Key保障內容）'!R46/'商品Database(Key保障內容）'!$B46</f>
        <v>0</v>
      </c>
      <c r="S46" s="1">
        <f>'商品Database(Key保障內容）'!S46/'商品Database(Key保障內容）'!$B46</f>
        <v>0</v>
      </c>
      <c r="T46" s="1">
        <f>'商品Database(Key保障內容）'!T46/'商品Database(Key保障內容）'!$B46</f>
        <v>0</v>
      </c>
      <c r="U46" s="1">
        <f>'商品Database(Key保障內容）'!U46/'商品Database(Key保障內容）'!$B46</f>
        <v>0</v>
      </c>
      <c r="V46" s="1">
        <f>'商品Database(Key保障內容）'!V46/'商品Database(Key保障內容）'!$B46</f>
        <v>0</v>
      </c>
      <c r="W46" s="1">
        <f>'商品Database(Key保障內容）'!W46/'商品Database(Key保障內容）'!$B46</f>
        <v>0</v>
      </c>
      <c r="X46" s="1">
        <f>'商品Database(Key保障內容）'!X46/'商品Database(Key保障內容）'!$B46</f>
        <v>0</v>
      </c>
      <c r="Y46" s="1">
        <f>'商品Database(Key保障內容）'!Y46/'商品Database(Key保障內容）'!$B46</f>
        <v>0</v>
      </c>
      <c r="Z46" s="1">
        <f>'商品Database(Key保障內容）'!Z46/'商品Database(Key保障內容）'!$B46</f>
        <v>0</v>
      </c>
      <c r="AA46" s="1">
        <f>'商品Database(Key保障內容）'!AA46/'商品Database(Key保障內容）'!$B46</f>
        <v>0</v>
      </c>
      <c r="AB46" s="1">
        <f>'商品Database(Key保障內容）'!AB46/'商品Database(Key保障內容）'!$B46</f>
        <v>0</v>
      </c>
      <c r="AC46" s="1">
        <f>'商品Database(Key保障內容）'!AC46/'商品Database(Key保障內容）'!$B46</f>
        <v>0</v>
      </c>
      <c r="AD46" s="1">
        <f>'商品Database(Key保障內容）'!AD46/'商品Database(Key保障內容）'!$B46</f>
        <v>0</v>
      </c>
      <c r="AE46" s="1">
        <f>'商品Database(Key保障內容）'!AE46/'商品Database(Key保障內容）'!$B46</f>
        <v>0</v>
      </c>
      <c r="AF46" s="1">
        <f>'商品Database(Key保障內容）'!AF46/'商品Database(Key保障內容）'!$B46</f>
        <v>0</v>
      </c>
      <c r="AG46" s="1">
        <f>'商品Database(Key保障內容）'!AG46/'商品Database(Key保障內容）'!$B46</f>
        <v>0</v>
      </c>
      <c r="AH46" s="1">
        <f>'商品Database(Key保障內容）'!AH46/'商品Database(Key保障內容）'!$B46</f>
        <v>0</v>
      </c>
      <c r="AI46" s="1">
        <f>'商品Database(Key保障內容）'!AI46/'商品Database(Key保障內容）'!$B46</f>
        <v>0</v>
      </c>
      <c r="AJ46" s="1">
        <f>'商品Database(Key保障內容）'!AJ46/'商品Database(Key保障內容）'!$B46</f>
        <v>0</v>
      </c>
      <c r="AK46" s="1">
        <f>'商品Database(Key保障內容）'!AK46/'商品Database(Key保障內容）'!$B46</f>
        <v>0</v>
      </c>
      <c r="AL46" s="1">
        <f>'商品Database(Key保障內容）'!AL46/'商品Database(Key保障內容）'!$B46</f>
        <v>0</v>
      </c>
      <c r="AM46" s="1">
        <f>'商品Database(Key保障內容）'!AM46/'商品Database(Key保障內容）'!$B46</f>
        <v>0</v>
      </c>
      <c r="AN46" s="1">
        <f>'商品Database(Key保障內容）'!AN46/'商品Database(Key保障內容）'!$B46</f>
        <v>0</v>
      </c>
    </row>
    <row r="47" spans="1:40">
      <c r="A47" s="16" t="s">
        <v>137</v>
      </c>
      <c r="B47" s="1">
        <v>1000</v>
      </c>
      <c r="C47" s="1">
        <v>0</v>
      </c>
      <c r="D47" s="1">
        <v>0</v>
      </c>
      <c r="E47" s="1">
        <v>1</v>
      </c>
      <c r="F47" s="1">
        <f>'商品Database(Key保障內容）'!F47/'商品Database(Key保障內容）'!$B47</f>
        <v>0</v>
      </c>
      <c r="G47" s="1">
        <v>0</v>
      </c>
      <c r="H47" s="1">
        <v>1</v>
      </c>
      <c r="I47" s="1">
        <f>'商品Database(Key保障內容）'!I47/'商品Database(Key保障內容）'!$B47</f>
        <v>0</v>
      </c>
      <c r="J47" s="1">
        <f>'商品Database(Key保障內容）'!J47/'商品Database(Key保障內容）'!$B47</f>
        <v>0</v>
      </c>
      <c r="K47" s="1">
        <f>'商品Database(Key保障內容）'!K47/'商品Database(Key保障內容）'!$B47</f>
        <v>0</v>
      </c>
      <c r="L47" s="1">
        <f>'商品Database(Key保障內容）'!L47/'商品Database(Key保障內容）'!$B47</f>
        <v>0</v>
      </c>
      <c r="M47" s="1">
        <f>'商品Database(Key保障內容）'!M47/'商品Database(Key保障內容）'!$B47</f>
        <v>0</v>
      </c>
      <c r="N47" s="1">
        <f>'商品Database(Key保障內容）'!N47/'商品Database(Key保障內容）'!$B47</f>
        <v>0</v>
      </c>
      <c r="O47" s="1">
        <f>'商品Database(Key保障內容）'!O47/'商品Database(Key保障內容）'!$B47</f>
        <v>0</v>
      </c>
      <c r="P47" s="1">
        <f>'商品Database(Key保障內容）'!P47/'商品Database(Key保障內容）'!$B47</f>
        <v>0</v>
      </c>
      <c r="Q47" s="1">
        <f>'商品Database(Key保障內容）'!Q47/'商品Database(Key保障內容）'!$B47</f>
        <v>0</v>
      </c>
      <c r="R47" s="1">
        <f>'商品Database(Key保障內容）'!R47/'商品Database(Key保障內容）'!$B47</f>
        <v>0</v>
      </c>
      <c r="S47" s="1">
        <f>'商品Database(Key保障內容）'!S47/'商品Database(Key保障內容）'!$B47</f>
        <v>0</v>
      </c>
      <c r="T47" s="1">
        <f>'商品Database(Key保障內容）'!T47/'商品Database(Key保障內容）'!$B47</f>
        <v>0</v>
      </c>
      <c r="U47" s="1">
        <f>'商品Database(Key保障內容）'!U47/'商品Database(Key保障內容）'!$B47</f>
        <v>0</v>
      </c>
      <c r="V47" s="1">
        <f>'商品Database(Key保障內容）'!V47/'商品Database(Key保障內容）'!$B47</f>
        <v>0</v>
      </c>
      <c r="W47" s="1">
        <f>'商品Database(Key保障內容）'!W47/'商品Database(Key保障內容）'!$B47</f>
        <v>0</v>
      </c>
      <c r="X47" s="1">
        <f>'商品Database(Key保障內容）'!X47/'商品Database(Key保障內容）'!$B47</f>
        <v>0</v>
      </c>
      <c r="Y47" s="1">
        <f>'商品Database(Key保障內容）'!Y47/'商品Database(Key保障內容）'!$B47</f>
        <v>0</v>
      </c>
      <c r="Z47" s="1">
        <f>'商品Database(Key保障內容）'!Z47/'商品Database(Key保障內容）'!$B47</f>
        <v>0</v>
      </c>
      <c r="AA47" s="1">
        <f>'商品Database(Key保障內容）'!AA47/'商品Database(Key保障內容）'!$B47</f>
        <v>0</v>
      </c>
      <c r="AB47" s="1">
        <f>'商品Database(Key保障內容）'!AB47/'商品Database(Key保障內容）'!$B47</f>
        <v>0</v>
      </c>
      <c r="AC47" s="1">
        <f>'商品Database(Key保障內容）'!AC47/'商品Database(Key保障內容）'!$B47</f>
        <v>0</v>
      </c>
      <c r="AD47" s="1">
        <f>'商品Database(Key保障內容）'!AD47/'商品Database(Key保障內容）'!$B47</f>
        <v>0</v>
      </c>
      <c r="AE47" s="1">
        <f>'商品Database(Key保障內容）'!AE47/'商品Database(Key保障內容）'!$B47</f>
        <v>0</v>
      </c>
      <c r="AF47" s="1">
        <f>'商品Database(Key保障內容）'!AF47/'商品Database(Key保障內容）'!$B47</f>
        <v>0</v>
      </c>
      <c r="AG47" s="1">
        <f>'商品Database(Key保障內容）'!AG47/'商品Database(Key保障內容）'!$B47</f>
        <v>0</v>
      </c>
      <c r="AH47" s="1">
        <f>'商品Database(Key保障內容）'!AH47/'商品Database(Key保障內容）'!$B47</f>
        <v>0</v>
      </c>
      <c r="AI47" s="1">
        <f>'商品Database(Key保障內容）'!AI47/'商品Database(Key保障內容）'!$B47</f>
        <v>0</v>
      </c>
      <c r="AJ47" s="1">
        <f>'商品Database(Key保障內容）'!AJ47/'商品Database(Key保障內容）'!$B47</f>
        <v>0</v>
      </c>
      <c r="AK47" s="1">
        <f>'商品Database(Key保障內容）'!AK47/'商品Database(Key保障內容）'!$B47</f>
        <v>0</v>
      </c>
      <c r="AL47" s="1">
        <f>'商品Database(Key保障內容）'!AL47/'商品Database(Key保障內容）'!$B47</f>
        <v>0</v>
      </c>
      <c r="AM47" s="1">
        <f>'商品Database(Key保障內容）'!AM47/'商品Database(Key保障內容）'!$B47</f>
        <v>0</v>
      </c>
      <c r="AN47" s="1">
        <f>'商品Database(Key保障內容）'!AN47/'商品Database(Key保障內容）'!$B47</f>
        <v>0</v>
      </c>
    </row>
    <row r="48" spans="1:40">
      <c r="A48" s="16" t="s">
        <v>138</v>
      </c>
      <c r="B48" s="1">
        <v>1</v>
      </c>
      <c r="C48" s="1">
        <v>3000</v>
      </c>
      <c r="D48" s="1">
        <v>4000</v>
      </c>
      <c r="E48" s="1">
        <v>0</v>
      </c>
      <c r="F48" s="1">
        <v>300000</v>
      </c>
      <c r="G48" s="1">
        <f>'商品Database(Key保障內容）'!G48/'商品Database(Key保障內容）'!$B48</f>
        <v>0</v>
      </c>
      <c r="H48" s="1">
        <v>0</v>
      </c>
      <c r="I48" s="1">
        <v>30000</v>
      </c>
      <c r="J48" s="1">
        <v>300000</v>
      </c>
      <c r="K48" s="1">
        <v>400000</v>
      </c>
      <c r="L48" s="1">
        <v>0</v>
      </c>
      <c r="M48" s="1">
        <v>0</v>
      </c>
      <c r="N48" s="1">
        <f>'商品Database(Key保障內容）'!N48/'商品Database(Key保障內容）'!$B48</f>
        <v>0</v>
      </c>
      <c r="O48" s="1">
        <f>'商品Database(Key保障內容）'!O48/'商品Database(Key保障內容）'!$B48</f>
        <v>0</v>
      </c>
      <c r="P48" s="1">
        <f>'商品Database(Key保障內容）'!P48/'商品Database(Key保障內容）'!$B48</f>
        <v>0</v>
      </c>
      <c r="Q48" s="1">
        <f>'商品Database(Key保障內容）'!Q48/'商品Database(Key保障內容）'!$B48</f>
        <v>0</v>
      </c>
      <c r="R48" s="1">
        <f>'商品Database(Key保障內容）'!R48/'商品Database(Key保障內容）'!$B48</f>
        <v>0</v>
      </c>
      <c r="S48" s="1">
        <f>'商品Database(Key保障內容）'!S48/'商品Database(Key保障內容）'!$B48</f>
        <v>0</v>
      </c>
      <c r="T48" s="1">
        <f>'商品Database(Key保障內容）'!T48/'商品Database(Key保障內容）'!$B48</f>
        <v>0</v>
      </c>
      <c r="U48" s="1">
        <f>'商品Database(Key保障內容）'!U48/'商品Database(Key保障內容）'!$B48</f>
        <v>0</v>
      </c>
      <c r="V48" s="1">
        <f>'商品Database(Key保障內容）'!V48/'商品Database(Key保障內容）'!$B48</f>
        <v>0</v>
      </c>
      <c r="W48" s="1">
        <f>'商品Database(Key保障內容）'!W48/'商品Database(Key保障內容）'!$B48</f>
        <v>0</v>
      </c>
      <c r="X48" s="1">
        <f>'商品Database(Key保障內容）'!X48/'商品Database(Key保障內容）'!$B48</f>
        <v>0</v>
      </c>
      <c r="Y48" s="1">
        <f>'商品Database(Key保障內容）'!Y48/'商品Database(Key保障內容）'!$B48</f>
        <v>0</v>
      </c>
      <c r="Z48" s="1">
        <f>'商品Database(Key保障內容）'!Z48/'商品Database(Key保障內容）'!$B48</f>
        <v>0</v>
      </c>
      <c r="AA48" s="1">
        <f>'商品Database(Key保障內容）'!AA48/'商品Database(Key保障內容）'!$B48</f>
        <v>0</v>
      </c>
      <c r="AB48" s="1">
        <f>'商品Database(Key保障內容）'!AB48/'商品Database(Key保障內容）'!$B48</f>
        <v>0</v>
      </c>
      <c r="AC48" s="1">
        <f>'商品Database(Key保障內容）'!AC48/'商品Database(Key保障內容）'!$B48</f>
        <v>0</v>
      </c>
      <c r="AD48" s="1">
        <f>'商品Database(Key保障內容）'!AD48/'商品Database(Key保障內容）'!$B48</f>
        <v>0</v>
      </c>
      <c r="AE48" s="1">
        <f>'商品Database(Key保障內容）'!AE48/'商品Database(Key保障內容）'!$B48</f>
        <v>0</v>
      </c>
      <c r="AF48" s="1">
        <f>'商品Database(Key保障內容）'!AF48/'商品Database(Key保障內容）'!$B48</f>
        <v>0</v>
      </c>
      <c r="AG48" s="1">
        <f>'商品Database(Key保障內容）'!AG48/'商品Database(Key保障內容）'!$B48</f>
        <v>0</v>
      </c>
      <c r="AH48" s="1">
        <f>'商品Database(Key保障內容）'!AH48/'商品Database(Key保障內容）'!$B48</f>
        <v>0</v>
      </c>
      <c r="AI48" s="1">
        <f>'商品Database(Key保障內容）'!AI48/'商品Database(Key保障內容）'!$B48</f>
        <v>0</v>
      </c>
      <c r="AJ48" s="1">
        <f>'商品Database(Key保障內容）'!AJ48/'商品Database(Key保障內容）'!$B48</f>
        <v>0</v>
      </c>
      <c r="AK48" s="1">
        <f>'商品Database(Key保障內容）'!AK48/'商品Database(Key保障內容）'!$B48</f>
        <v>0</v>
      </c>
      <c r="AL48" s="1">
        <f>'商品Database(Key保障內容）'!AL48/'商品Database(Key保障內容）'!$B48</f>
        <v>0</v>
      </c>
      <c r="AM48" s="1">
        <f>'商品Database(Key保障內容）'!AM48/'商品Database(Key保障內容）'!$B48</f>
        <v>0</v>
      </c>
      <c r="AN48" s="1">
        <f>'商品Database(Key保障內容）'!AN48/'商品Database(Key保障內容）'!$B48</f>
        <v>0</v>
      </c>
    </row>
    <row r="49" spans="1:40">
      <c r="A49" s="16" t="s">
        <v>142</v>
      </c>
      <c r="B49" s="1">
        <v>100000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1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</row>
    <row r="50" spans="1:40">
      <c r="A50" s="16" t="s">
        <v>143</v>
      </c>
      <c r="B50" s="1">
        <v>500000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1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</row>
    <row r="51" spans="1:40">
      <c r="A51" s="16" t="s">
        <v>144</v>
      </c>
      <c r="B51" s="1">
        <v>1</v>
      </c>
      <c r="C51" s="1">
        <v>1000</v>
      </c>
      <c r="D51" s="1">
        <v>2000</v>
      </c>
      <c r="E51" s="1">
        <v>0</v>
      </c>
      <c r="F51" s="1">
        <v>100000</v>
      </c>
      <c r="G51" s="1">
        <v>0</v>
      </c>
      <c r="H51" s="1">
        <v>0</v>
      </c>
      <c r="I51" s="1">
        <v>15000</v>
      </c>
      <c r="J51" s="1">
        <v>100000</v>
      </c>
      <c r="K51" s="1">
        <v>200000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</row>
    <row r="52" spans="1:40">
      <c r="A52" s="16" t="s">
        <v>146</v>
      </c>
      <c r="B52" s="1">
        <v>1</v>
      </c>
      <c r="C52" s="1">
        <v>3000</v>
      </c>
      <c r="D52" s="1">
        <v>3000</v>
      </c>
      <c r="E52" s="1">
        <v>0</v>
      </c>
      <c r="F52" s="1">
        <v>300000</v>
      </c>
      <c r="G52" s="1">
        <v>0</v>
      </c>
      <c r="H52" s="1">
        <v>0</v>
      </c>
      <c r="I52" s="1">
        <v>30000</v>
      </c>
      <c r="J52" s="1">
        <v>300000</v>
      </c>
      <c r="K52" s="1">
        <v>300000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</row>
    <row r="53" spans="1:40">
      <c r="A53" s="16" t="s">
        <v>150</v>
      </c>
      <c r="B53" s="1">
        <v>1000</v>
      </c>
      <c r="C53" s="1">
        <v>0</v>
      </c>
      <c r="D53" s="1">
        <v>0</v>
      </c>
      <c r="E53" s="1">
        <v>1</v>
      </c>
      <c r="F53" s="1">
        <v>0</v>
      </c>
      <c r="G53" s="1">
        <v>0</v>
      </c>
      <c r="H53" s="1">
        <v>1</v>
      </c>
    </row>
    <row r="54" spans="1:40">
      <c r="A54" s="16" t="s">
        <v>153</v>
      </c>
      <c r="B54" s="1">
        <v>10000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8</v>
      </c>
      <c r="AD54" s="1">
        <v>8</v>
      </c>
      <c r="AE54" s="1">
        <v>1</v>
      </c>
      <c r="AF54" s="1">
        <v>1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1</v>
      </c>
      <c r="AN54" s="1">
        <v>1</v>
      </c>
    </row>
    <row r="55" spans="1:40">
      <c r="A55" s="16" t="s">
        <v>156</v>
      </c>
      <c r="B55" s="1">
        <v>10000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20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</row>
    <row r="56" spans="1:40">
      <c r="A56" s="16" t="s">
        <v>158</v>
      </c>
      <c r="B56" s="1">
        <v>10000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20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</row>
    <row r="57" spans="1:40">
      <c r="A57" s="16" t="s">
        <v>159</v>
      </c>
      <c r="B57" s="1">
        <v>1000000</v>
      </c>
      <c r="S57" s="1">
        <v>1</v>
      </c>
      <c r="AD57" s="1">
        <v>1</v>
      </c>
      <c r="AF57" s="1">
        <v>0.03</v>
      </c>
      <c r="AH57" s="1">
        <v>0</v>
      </c>
      <c r="AJ57" s="1">
        <v>0.03</v>
      </c>
      <c r="AL57" s="1">
        <v>0.03</v>
      </c>
      <c r="AN57" s="1">
        <v>0.03</v>
      </c>
    </row>
    <row r="58" spans="1:40">
      <c r="A58" s="16" t="s">
        <v>160</v>
      </c>
      <c r="B58" s="1">
        <v>1</v>
      </c>
      <c r="C58" s="1">
        <v>1000</v>
      </c>
      <c r="D58" s="1">
        <v>2000</v>
      </c>
      <c r="E58" s="1">
        <v>0</v>
      </c>
      <c r="F58" s="1">
        <v>100000</v>
      </c>
      <c r="G58" s="1">
        <v>0</v>
      </c>
      <c r="H58" s="1">
        <v>0</v>
      </c>
      <c r="I58" s="1">
        <v>15000</v>
      </c>
      <c r="J58" s="1">
        <v>100000</v>
      </c>
      <c r="K58" s="1">
        <v>200000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</row>
    <row r="59" spans="1:40">
      <c r="A59" s="16" t="s">
        <v>161</v>
      </c>
      <c r="B59" s="1">
        <v>1</v>
      </c>
      <c r="C59" s="1">
        <f>'商品Database(Key保障內容）'!C49/'商品Database(Key保障內容）'!$B49</f>
        <v>800</v>
      </c>
      <c r="D59" s="1">
        <f>'商品Database(Key保障內容）'!D49/'商品Database(Key保障內容）'!$B49</f>
        <v>800</v>
      </c>
      <c r="E59" s="1">
        <f>'商品Database(Key保障內容）'!E49/'商品Database(Key保障內容）'!$B49</f>
        <v>0</v>
      </c>
      <c r="F59" s="1">
        <f>'商品Database(Key保障內容）'!F49/'商品Database(Key保障內容）'!$B49</f>
        <v>200000</v>
      </c>
      <c r="G59" s="1">
        <f>'商品Database(Key保障內容）'!G49/'商品Database(Key保障內容）'!$B49</f>
        <v>0</v>
      </c>
      <c r="H59" s="1">
        <f>'商品Database(Key保障內容）'!H49/'商品Database(Key保障內容）'!$B49</f>
        <v>0</v>
      </c>
      <c r="I59" s="1">
        <f>'商品Database(Key保障內容）'!I49/'商品Database(Key保障內容）'!$B49</f>
        <v>30000</v>
      </c>
      <c r="J59" s="1">
        <f>'商品Database(Key保障內容）'!J49/'商品Database(Key保障內容）'!$B49</f>
        <v>200000</v>
      </c>
      <c r="K59" s="1">
        <f>'商品Database(Key保障內容）'!K49/'商品Database(Key保障內容）'!$B49</f>
        <v>200000</v>
      </c>
      <c r="L59" s="1">
        <f>'商品Database(Key保障內容）'!L49/'商品Database(Key保障內容）'!$B49</f>
        <v>0</v>
      </c>
      <c r="M59" s="1">
        <f>'商品Database(Key保障內容）'!M49/'商品Database(Key保障內容）'!$B49</f>
        <v>0</v>
      </c>
      <c r="N59" s="1">
        <f>'商品Database(Key保障內容）'!N49/'商品Database(Key保障內容）'!$B49</f>
        <v>0</v>
      </c>
      <c r="O59" s="1">
        <f>'商品Database(Key保障內容）'!O49/'商品Database(Key保障內容）'!$B49</f>
        <v>0</v>
      </c>
      <c r="P59" s="1">
        <f>'商品Database(Key保障內容）'!P49/'商品Database(Key保障內容）'!$B49</f>
        <v>0</v>
      </c>
      <c r="Q59" s="1">
        <f>'商品Database(Key保障內容）'!Q49/'商品Database(Key保障內容）'!$B49</f>
        <v>0</v>
      </c>
      <c r="R59" s="1">
        <f>'商品Database(Key保障內容）'!R49/'商品Database(Key保障內容）'!$B49</f>
        <v>0</v>
      </c>
      <c r="S59" s="1">
        <f>'商品Database(Key保障內容）'!S49/'商品Database(Key保障內容）'!$B49</f>
        <v>0</v>
      </c>
      <c r="T59" s="1">
        <f>'商品Database(Key保障內容）'!T49/'商品Database(Key保障內容）'!$B49</f>
        <v>0</v>
      </c>
      <c r="U59" s="1">
        <f>'商品Database(Key保障內容）'!U49/'商品Database(Key保障內容）'!$B49</f>
        <v>0</v>
      </c>
      <c r="V59" s="1">
        <f>'商品Database(Key保障內容）'!V49/'商品Database(Key保障內容）'!$B49</f>
        <v>0</v>
      </c>
      <c r="W59" s="1">
        <f>'商品Database(Key保障內容）'!W49/'商品Database(Key保障內容）'!$B49</f>
        <v>0</v>
      </c>
      <c r="X59" s="1">
        <f>'商品Database(Key保障內容）'!X49/'商品Database(Key保障內容）'!$B49</f>
        <v>0</v>
      </c>
      <c r="Y59" s="1">
        <f>'商品Database(Key保障內容）'!Y49/'商品Database(Key保障內容）'!$B49</f>
        <v>0</v>
      </c>
      <c r="Z59" s="1">
        <f>'商品Database(Key保障內容）'!Z49/'商品Database(Key保障內容）'!$B49</f>
        <v>0</v>
      </c>
      <c r="AA59" s="1">
        <f>'商品Database(Key保障內容）'!AA49/'商品Database(Key保障內容）'!$B49</f>
        <v>0</v>
      </c>
      <c r="AB59" s="1">
        <f>'商品Database(Key保障內容）'!AB49/'商品Database(Key保障內容）'!$B49</f>
        <v>0</v>
      </c>
      <c r="AC59" s="1">
        <f>'商品Database(Key保障內容）'!AC49/'商品Database(Key保障內容）'!$B49</f>
        <v>0</v>
      </c>
      <c r="AD59" s="1">
        <f>'商品Database(Key保障內容）'!AD49/'商品Database(Key保障內容）'!$B49</f>
        <v>0</v>
      </c>
      <c r="AE59" s="1">
        <f>'商品Database(Key保障內容）'!AE49/'商品Database(Key保障內容）'!$B49</f>
        <v>0</v>
      </c>
      <c r="AF59" s="1">
        <f>'商品Database(Key保障內容）'!AF49/'商品Database(Key保障內容）'!$B49</f>
        <v>0</v>
      </c>
      <c r="AG59" s="1">
        <f>'商品Database(Key保障內容）'!AG49/'商品Database(Key保障內容）'!$B49</f>
        <v>0</v>
      </c>
      <c r="AH59" s="1">
        <f>'商品Database(Key保障內容）'!AH49/'商品Database(Key保障內容）'!$B49</f>
        <v>0</v>
      </c>
      <c r="AI59" s="1">
        <f>'商品Database(Key保障內容）'!AI49/'商品Database(Key保障內容）'!$B49</f>
        <v>0</v>
      </c>
      <c r="AJ59" s="1">
        <f>'商品Database(Key保障內容）'!AJ49/'商品Database(Key保障內容）'!$B49</f>
        <v>0</v>
      </c>
      <c r="AK59" s="1">
        <f>'商品Database(Key保障內容）'!AK49/'商品Database(Key保障內容）'!$B49</f>
        <v>0</v>
      </c>
      <c r="AL59" s="1">
        <f>'商品Database(Key保障內容）'!AL49/'商品Database(Key保障內容）'!$B49</f>
        <v>0</v>
      </c>
      <c r="AM59" s="1">
        <f>'商品Database(Key保障內容）'!AM49/'商品Database(Key保障內容）'!$B49</f>
        <v>0</v>
      </c>
      <c r="AN59" s="1">
        <f>'商品Database(Key保障內容）'!AN49/'商品Database(Key保障內容）'!$B49</f>
        <v>0</v>
      </c>
    </row>
    <row r="60" spans="1:40" ht="19" thickBot="1">
      <c r="A60" s="17" t="s">
        <v>162</v>
      </c>
      <c r="B60" s="18">
        <v>1</v>
      </c>
      <c r="C60" s="18">
        <f>'商品Database(Key保障內容）'!C50/'商品Database(Key保障內容）'!$B50</f>
        <v>0</v>
      </c>
      <c r="D60" s="18">
        <f>'商品Database(Key保障內容）'!D50/'商品Database(Key保障內容）'!$B50</f>
        <v>0</v>
      </c>
      <c r="E60" s="18">
        <v>1</v>
      </c>
      <c r="F60" s="18">
        <f>'商品Database(Key保障內容）'!F50/'商品Database(Key保障內容）'!$B50</f>
        <v>0</v>
      </c>
      <c r="G60" s="18">
        <f>'商品Database(Key保障內容）'!G50/'商品Database(Key保障內容）'!$B50</f>
        <v>0</v>
      </c>
      <c r="H60" s="18">
        <v>0.5</v>
      </c>
      <c r="I60" s="18">
        <f>'商品Database(Key保障內容）'!I50/'商品Database(Key保障內容）'!$B50</f>
        <v>0</v>
      </c>
      <c r="J60" s="18">
        <f>'商品Database(Key保障內容）'!J50/'商品Database(Key保障內容）'!$B50</f>
        <v>0</v>
      </c>
      <c r="K60" s="18">
        <f>'商品Database(Key保障內容）'!K50/'商品Database(Key保障內容）'!$B50</f>
        <v>0</v>
      </c>
      <c r="L60" s="18">
        <f>'商品Database(Key保障內容）'!L50/'商品Database(Key保障內容）'!$B50</f>
        <v>0</v>
      </c>
      <c r="M60" s="18">
        <f>'商品Database(Key保障內容）'!M50/'商品Database(Key保障內容）'!$B50</f>
        <v>0</v>
      </c>
      <c r="N60" s="18">
        <f>'商品Database(Key保障內容）'!N50/'商品Database(Key保障內容）'!$B50</f>
        <v>0</v>
      </c>
      <c r="O60" s="18">
        <f>'商品Database(Key保障內容）'!O50/'商品Database(Key保障內容）'!$B50</f>
        <v>0</v>
      </c>
      <c r="P60" s="18">
        <f>'商品Database(Key保障內容）'!P50/'商品Database(Key保障內容）'!$B50</f>
        <v>0</v>
      </c>
      <c r="Q60" s="18">
        <f>'商品Database(Key保障內容）'!Q50/'商品Database(Key保障內容）'!$B50</f>
        <v>0</v>
      </c>
      <c r="R60" s="18">
        <f>'商品Database(Key保障內容）'!R50/'商品Database(Key保障內容）'!$B50</f>
        <v>0</v>
      </c>
      <c r="S60" s="18">
        <f>'商品Database(Key保障內容）'!S50/'商品Database(Key保障內容）'!$B50</f>
        <v>0</v>
      </c>
      <c r="T60" s="18">
        <f>'商品Database(Key保障內容）'!T50/'商品Database(Key保障內容）'!$B50</f>
        <v>0</v>
      </c>
      <c r="U60" s="18">
        <f>'商品Database(Key保障內容）'!U50/'商品Database(Key保障內容）'!$B50</f>
        <v>0</v>
      </c>
      <c r="V60" s="18">
        <f>'商品Database(Key保障內容）'!V50/'商品Database(Key保障內容）'!$B50</f>
        <v>0</v>
      </c>
      <c r="W60" s="18">
        <f>'商品Database(Key保障內容）'!W50/'商品Database(Key保障內容）'!$B50</f>
        <v>0</v>
      </c>
      <c r="X60" s="18">
        <f>'商品Database(Key保障內容）'!X50/'商品Database(Key保障內容）'!$B50</f>
        <v>0</v>
      </c>
      <c r="Y60" s="18">
        <f>'商品Database(Key保障內容）'!Y50/'商品Database(Key保障內容）'!$B50</f>
        <v>0</v>
      </c>
      <c r="Z60" s="18">
        <f>'商品Database(Key保障內容）'!Z50/'商品Database(Key保障內容）'!$B50</f>
        <v>0</v>
      </c>
      <c r="AA60" s="18">
        <f>'商品Database(Key保障內容）'!AA50/'商品Database(Key保障內容）'!$B50</f>
        <v>0</v>
      </c>
      <c r="AB60" s="18">
        <f>'商品Database(Key保障內容）'!AB50/'商品Database(Key保障內容）'!$B50</f>
        <v>0</v>
      </c>
      <c r="AC60" s="18">
        <f>'商品Database(Key保障內容）'!AC50/'商品Database(Key保障內容）'!$B50</f>
        <v>0</v>
      </c>
      <c r="AD60" s="18">
        <f>'商品Database(Key保障內容）'!AD50/'商品Database(Key保障內容）'!$B50</f>
        <v>0</v>
      </c>
      <c r="AE60" s="18">
        <f>'商品Database(Key保障內容）'!AE50/'商品Database(Key保障內容）'!$B50</f>
        <v>0</v>
      </c>
      <c r="AF60" s="18">
        <f>'商品Database(Key保障內容）'!AF50/'商品Database(Key保障內容）'!$B50</f>
        <v>0</v>
      </c>
      <c r="AG60" s="18">
        <f>'商品Database(Key保障內容）'!AG50/'商品Database(Key保障內容）'!$B50</f>
        <v>0</v>
      </c>
      <c r="AH60" s="18">
        <f>'商品Database(Key保障內容）'!AH50/'商品Database(Key保障內容）'!$B50</f>
        <v>0</v>
      </c>
      <c r="AI60" s="18">
        <f>'商品Database(Key保障內容）'!AI50/'商品Database(Key保障內容）'!$B50</f>
        <v>0</v>
      </c>
      <c r="AJ60" s="18">
        <f>'商品Database(Key保障內容）'!AJ50/'商品Database(Key保障內容）'!$B50</f>
        <v>0</v>
      </c>
      <c r="AK60" s="18">
        <f>'商品Database(Key保障內容）'!AK50/'商品Database(Key保障內容）'!$B50</f>
        <v>0</v>
      </c>
      <c r="AL60" s="18">
        <f>'商品Database(Key保障內容）'!AL50/'商品Database(Key保障內容）'!$B50</f>
        <v>0</v>
      </c>
      <c r="AM60" s="18">
        <f>'商品Database(Key保障內容）'!AM50/'商品Database(Key保障內容）'!$B50</f>
        <v>0</v>
      </c>
      <c r="AN60" s="18">
        <f>'商品Database(Key保障內容）'!AN50/'商品Database(Key保障內容）'!$B50</f>
        <v>0</v>
      </c>
    </row>
    <row r="61" spans="1:40">
      <c r="A61" s="1">
        <v>1</v>
      </c>
      <c r="B61" s="1">
        <v>2</v>
      </c>
      <c r="C61" s="1">
        <v>3</v>
      </c>
      <c r="D61" s="1">
        <v>4</v>
      </c>
      <c r="E61" s="1">
        <v>5</v>
      </c>
      <c r="F61" s="1">
        <v>6</v>
      </c>
      <c r="G61" s="1">
        <v>7</v>
      </c>
      <c r="H61" s="1">
        <v>8</v>
      </c>
      <c r="I61" s="1">
        <v>9</v>
      </c>
      <c r="J61" s="1">
        <v>10</v>
      </c>
      <c r="K61" s="1">
        <v>11</v>
      </c>
      <c r="L61" s="1">
        <v>12</v>
      </c>
      <c r="M61" s="1">
        <v>13</v>
      </c>
      <c r="N61" s="1">
        <v>14</v>
      </c>
      <c r="O61" s="1">
        <v>15</v>
      </c>
      <c r="P61" s="1">
        <v>16</v>
      </c>
      <c r="Q61" s="1">
        <v>17</v>
      </c>
      <c r="R61" s="1">
        <v>18</v>
      </c>
      <c r="S61" s="1">
        <v>19</v>
      </c>
      <c r="T61" s="1">
        <v>20</v>
      </c>
      <c r="U61" s="1">
        <v>21</v>
      </c>
      <c r="V61" s="1">
        <v>22</v>
      </c>
      <c r="W61" s="1">
        <v>23</v>
      </c>
      <c r="X61" s="1">
        <v>24</v>
      </c>
      <c r="Y61" s="1">
        <v>25</v>
      </c>
      <c r="Z61" s="1">
        <v>26</v>
      </c>
      <c r="AA61" s="1">
        <v>27</v>
      </c>
      <c r="AB61" s="1">
        <v>28</v>
      </c>
      <c r="AC61" s="1">
        <v>29</v>
      </c>
      <c r="AD61" s="1">
        <v>30</v>
      </c>
      <c r="AE61" s="1">
        <v>31</v>
      </c>
      <c r="AF61" s="1">
        <v>32</v>
      </c>
      <c r="AG61" s="1">
        <v>33</v>
      </c>
      <c r="AH61" s="1">
        <v>34</v>
      </c>
      <c r="AI61" s="1">
        <v>35</v>
      </c>
      <c r="AJ61" s="1">
        <v>36</v>
      </c>
      <c r="AK61" s="1">
        <v>37</v>
      </c>
      <c r="AL61" s="1">
        <v>38</v>
      </c>
      <c r="AM61" s="1">
        <v>39</v>
      </c>
      <c r="AN61" s="1">
        <v>40</v>
      </c>
    </row>
    <row r="62" spans="1:40">
      <c r="A62" s="36" t="s">
        <v>70</v>
      </c>
      <c r="B62" s="36"/>
    </row>
    <row r="63" spans="1:40">
      <c r="A63" s="36"/>
      <c r="B63" s="36"/>
    </row>
    <row r="64" spans="1:40">
      <c r="A64" s="36"/>
      <c r="B64" s="36"/>
    </row>
  </sheetData>
  <mergeCells count="1">
    <mergeCell ref="A62:B64"/>
  </mergeCells>
  <phoneticPr fontId="1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0BAD0-7215-E949-88F0-173C0384E8ED}">
  <sheetPr codeName="工作表6"/>
  <dimension ref="A1:S63"/>
  <sheetViews>
    <sheetView zoomScale="111" workbookViewId="0">
      <pane ySplit="1" topLeftCell="A50" activePane="bottomLeft" state="frozen"/>
      <selection pane="bottomLeft" activeCell="G55" sqref="G55"/>
    </sheetView>
  </sheetViews>
  <sheetFormatPr baseColWidth="10" defaultRowHeight="18"/>
  <cols>
    <col min="1" max="1" width="10.83203125" style="1"/>
    <col min="2" max="2" width="10.83203125" style="1" customWidth="1"/>
    <col min="3" max="12" width="15.1640625" style="1" customWidth="1"/>
    <col min="13" max="13" width="24.6640625" style="1" customWidth="1"/>
    <col min="14" max="17" width="15.1640625" style="1" customWidth="1"/>
    <col min="18" max="16384" width="10.83203125" style="1"/>
  </cols>
  <sheetData>
    <row r="1" spans="1:19" ht="38">
      <c r="A1" s="1" t="s">
        <v>8</v>
      </c>
      <c r="B1" s="1" t="s">
        <v>9</v>
      </c>
      <c r="C1" s="25" t="s">
        <v>78</v>
      </c>
      <c r="D1" s="20" t="s">
        <v>79</v>
      </c>
      <c r="E1" s="20" t="s">
        <v>73</v>
      </c>
      <c r="F1" s="20" t="s">
        <v>75</v>
      </c>
      <c r="G1" s="20" t="s">
        <v>13</v>
      </c>
      <c r="H1" s="20" t="s">
        <v>82</v>
      </c>
      <c r="I1" s="20" t="s">
        <v>84</v>
      </c>
      <c r="J1" s="20" t="s">
        <v>86</v>
      </c>
      <c r="K1" s="20" t="s">
        <v>4</v>
      </c>
      <c r="L1" s="20" t="s">
        <v>5</v>
      </c>
      <c r="M1" s="20" t="s">
        <v>91</v>
      </c>
      <c r="N1" s="20" t="s">
        <v>94</v>
      </c>
      <c r="O1" s="20" t="s">
        <v>0</v>
      </c>
      <c r="P1" s="20" t="s">
        <v>97</v>
      </c>
      <c r="Q1" s="20" t="s">
        <v>7</v>
      </c>
      <c r="R1" s="14"/>
      <c r="S1" s="14"/>
    </row>
    <row r="2" spans="1:19" ht="76">
      <c r="A2" s="19" t="s">
        <v>53</v>
      </c>
      <c r="B2" s="1">
        <v>5</v>
      </c>
      <c r="C2" s="26"/>
      <c r="D2" s="27"/>
      <c r="E2" s="27" t="s">
        <v>72</v>
      </c>
      <c r="F2" s="27"/>
      <c r="G2" s="27"/>
      <c r="H2" s="27"/>
      <c r="I2" s="27"/>
      <c r="J2" s="27"/>
      <c r="K2" s="27"/>
      <c r="L2" s="27" t="s">
        <v>90</v>
      </c>
      <c r="Q2" s="15"/>
      <c r="R2" s="23"/>
      <c r="S2" s="23"/>
    </row>
    <row r="3" spans="1:19" ht="38">
      <c r="A3" s="19" t="s">
        <v>54</v>
      </c>
      <c r="B3" s="1">
        <v>500</v>
      </c>
      <c r="C3" s="26" t="s">
        <v>71</v>
      </c>
      <c r="D3" s="27"/>
      <c r="E3" s="27" t="s">
        <v>76</v>
      </c>
      <c r="F3" s="27"/>
      <c r="G3" s="27"/>
      <c r="H3" s="27"/>
      <c r="I3" s="27"/>
      <c r="J3" s="27"/>
      <c r="K3" s="27"/>
      <c r="L3" s="27" t="s">
        <v>90</v>
      </c>
      <c r="Q3" s="15"/>
      <c r="R3" s="23"/>
      <c r="S3" s="23"/>
    </row>
    <row r="4" spans="1:19" ht="57">
      <c r="A4" s="19" t="s">
        <v>55</v>
      </c>
      <c r="B4" s="1">
        <v>500</v>
      </c>
      <c r="C4" s="26"/>
      <c r="D4" s="27" t="s">
        <v>68</v>
      </c>
      <c r="E4" s="27"/>
      <c r="F4" s="27"/>
      <c r="G4" s="27"/>
      <c r="H4" s="27"/>
      <c r="I4" s="27"/>
      <c r="J4" s="27"/>
      <c r="K4" s="27"/>
      <c r="L4" s="27" t="s">
        <v>90</v>
      </c>
      <c r="Q4" s="15"/>
      <c r="R4" s="23"/>
      <c r="S4" s="23"/>
    </row>
    <row r="5" spans="1:19">
      <c r="A5" s="1" t="s">
        <v>56</v>
      </c>
      <c r="B5" s="1">
        <v>12</v>
      </c>
      <c r="C5" s="26"/>
      <c r="D5" s="27"/>
      <c r="E5" s="27"/>
      <c r="F5" s="27"/>
      <c r="G5" s="27"/>
      <c r="H5" s="27"/>
      <c r="I5" s="27"/>
      <c r="J5" s="27"/>
      <c r="K5" s="27"/>
      <c r="L5" s="27"/>
      <c r="Q5" s="15" t="s">
        <v>102</v>
      </c>
      <c r="R5" s="23"/>
      <c r="S5" s="23"/>
    </row>
    <row r="6" spans="1:19">
      <c r="A6" s="1" t="s">
        <v>57</v>
      </c>
      <c r="B6" s="1">
        <v>50</v>
      </c>
      <c r="C6" s="26"/>
      <c r="D6" s="27"/>
      <c r="E6" s="27"/>
      <c r="F6" s="27"/>
      <c r="G6" s="27"/>
      <c r="H6" s="27"/>
      <c r="I6" s="27"/>
      <c r="J6" s="27"/>
      <c r="K6" s="27"/>
      <c r="L6" s="27"/>
      <c r="Q6" s="15"/>
      <c r="R6" s="23"/>
      <c r="S6" s="23"/>
    </row>
    <row r="7" spans="1:19" ht="38">
      <c r="A7" s="1" t="s">
        <v>58</v>
      </c>
      <c r="B7" s="1">
        <v>1</v>
      </c>
      <c r="C7" s="26"/>
      <c r="D7" s="27"/>
      <c r="E7" s="27"/>
      <c r="F7" s="27"/>
      <c r="G7" s="27"/>
      <c r="H7" s="27"/>
      <c r="I7" s="27"/>
      <c r="J7" s="27"/>
      <c r="K7" s="27" t="s">
        <v>88</v>
      </c>
      <c r="L7" s="27"/>
      <c r="M7" s="1" t="s">
        <v>92</v>
      </c>
      <c r="Q7" s="15"/>
      <c r="R7" s="23"/>
      <c r="S7" s="23"/>
    </row>
    <row r="8" spans="1:19" ht="38">
      <c r="A8" s="1" t="s">
        <v>59</v>
      </c>
      <c r="B8" s="1">
        <v>100000</v>
      </c>
      <c r="C8" s="26"/>
      <c r="D8" s="27"/>
      <c r="E8" s="27"/>
      <c r="F8" s="27"/>
      <c r="G8" s="27"/>
      <c r="H8" s="27"/>
      <c r="I8" s="27"/>
      <c r="J8" s="27"/>
      <c r="K8" s="27" t="s">
        <v>89</v>
      </c>
      <c r="L8" s="27"/>
      <c r="O8" s="1" t="s">
        <v>96</v>
      </c>
      <c r="Q8" s="15"/>
      <c r="R8" s="23"/>
      <c r="S8" s="23"/>
    </row>
    <row r="9" spans="1:19" ht="38">
      <c r="A9" s="1" t="s">
        <v>60</v>
      </c>
      <c r="B9" s="1">
        <v>100000</v>
      </c>
      <c r="C9" s="26"/>
      <c r="D9" s="27"/>
      <c r="E9" s="27"/>
      <c r="F9" s="27"/>
      <c r="G9" s="27"/>
      <c r="H9" s="27"/>
      <c r="I9" s="27"/>
      <c r="J9" s="27"/>
      <c r="K9" s="27" t="s">
        <v>89</v>
      </c>
      <c r="L9" s="27"/>
      <c r="O9" s="1" t="s">
        <v>96</v>
      </c>
      <c r="Q9" s="15"/>
      <c r="R9" s="23"/>
      <c r="S9" s="23"/>
    </row>
    <row r="10" spans="1:19">
      <c r="A10" s="1" t="s">
        <v>39</v>
      </c>
      <c r="B10" s="1">
        <v>500000</v>
      </c>
      <c r="C10" s="26"/>
      <c r="D10" s="27"/>
      <c r="E10" s="27"/>
      <c r="F10" s="27"/>
      <c r="G10" s="27"/>
      <c r="H10" s="27"/>
      <c r="I10" s="27"/>
      <c r="J10" s="27"/>
      <c r="K10" s="27"/>
      <c r="L10" s="27"/>
      <c r="Q10" s="15"/>
      <c r="R10" s="23"/>
      <c r="S10" s="23"/>
    </row>
    <row r="11" spans="1:19" ht="38">
      <c r="A11" s="1" t="s">
        <v>40</v>
      </c>
      <c r="B11" s="1">
        <v>500000</v>
      </c>
      <c r="C11" s="26"/>
      <c r="D11" s="27"/>
      <c r="E11" s="27"/>
      <c r="F11" s="27"/>
      <c r="G11" s="27"/>
      <c r="H11" s="27"/>
      <c r="I11" s="27"/>
      <c r="J11" s="27"/>
      <c r="K11" s="27" t="s">
        <v>89</v>
      </c>
      <c r="L11" s="27"/>
      <c r="O11" s="1" t="s">
        <v>96</v>
      </c>
      <c r="Q11" s="15"/>
      <c r="R11" s="23"/>
      <c r="S11" s="23"/>
    </row>
    <row r="12" spans="1:19">
      <c r="A12" s="1" t="s">
        <v>61</v>
      </c>
      <c r="B12" s="1">
        <v>5000</v>
      </c>
      <c r="C12" s="26"/>
      <c r="D12" s="27"/>
      <c r="E12" s="27"/>
      <c r="F12" s="27"/>
      <c r="G12" s="27"/>
      <c r="H12" s="27"/>
      <c r="I12" s="27"/>
      <c r="J12" s="27"/>
      <c r="K12" s="27"/>
      <c r="L12" s="27"/>
      <c r="Q12" s="15"/>
      <c r="R12" s="23"/>
      <c r="S12" s="23"/>
    </row>
    <row r="13" spans="1:19">
      <c r="A13" s="1" t="s">
        <v>41</v>
      </c>
      <c r="B13" s="1">
        <v>1</v>
      </c>
      <c r="C13" s="26"/>
      <c r="D13" s="27"/>
      <c r="E13" s="27"/>
      <c r="F13" s="27"/>
      <c r="G13" s="27"/>
      <c r="H13" s="27"/>
      <c r="I13" s="27"/>
      <c r="J13" s="27"/>
      <c r="K13" s="27"/>
      <c r="L13" s="27"/>
      <c r="M13" s="1" t="s">
        <v>93</v>
      </c>
      <c r="N13" s="1" t="s">
        <v>95</v>
      </c>
      <c r="Q13" s="15"/>
      <c r="R13" s="23"/>
      <c r="S13" s="23"/>
    </row>
    <row r="14" spans="1:19">
      <c r="A14" s="1" t="s">
        <v>62</v>
      </c>
      <c r="B14" s="1">
        <v>10</v>
      </c>
      <c r="C14" s="26"/>
      <c r="D14" s="27"/>
      <c r="E14" s="27"/>
      <c r="F14" s="27"/>
      <c r="G14" s="27"/>
      <c r="H14" s="27"/>
      <c r="I14" s="27"/>
      <c r="J14" s="27"/>
      <c r="K14" s="27"/>
      <c r="L14" s="27"/>
      <c r="Q14" s="15"/>
      <c r="R14" s="23"/>
      <c r="S14" s="23"/>
    </row>
    <row r="15" spans="1:19">
      <c r="A15" s="1" t="s">
        <v>63</v>
      </c>
      <c r="B15" s="1">
        <v>500000</v>
      </c>
      <c r="C15" s="26"/>
      <c r="D15" s="27"/>
      <c r="E15" s="27"/>
      <c r="F15" s="27"/>
      <c r="G15" s="27"/>
      <c r="H15" s="27"/>
      <c r="I15" s="27"/>
      <c r="J15" s="27"/>
      <c r="K15" s="27"/>
      <c r="L15" s="27"/>
      <c r="Q15" s="15"/>
      <c r="R15" s="23"/>
      <c r="S15" s="23"/>
    </row>
    <row r="16" spans="1:19">
      <c r="A16" s="1" t="s">
        <v>42</v>
      </c>
      <c r="B16" s="1">
        <v>1000000</v>
      </c>
      <c r="C16" s="26"/>
      <c r="D16" s="27"/>
      <c r="E16" s="27"/>
      <c r="F16" s="27"/>
      <c r="G16" s="27"/>
      <c r="H16" s="27"/>
      <c r="I16" s="27"/>
      <c r="J16" s="27"/>
      <c r="K16" s="27"/>
      <c r="L16" s="27"/>
      <c r="Q16" s="15"/>
      <c r="R16" s="23"/>
      <c r="S16" s="23"/>
    </row>
    <row r="17" spans="1:19">
      <c r="A17" s="1" t="s">
        <v>50</v>
      </c>
      <c r="B17" s="1">
        <v>100000</v>
      </c>
      <c r="C17" s="26"/>
      <c r="D17" s="27"/>
      <c r="E17" s="27"/>
      <c r="F17" s="27"/>
      <c r="G17" s="27"/>
      <c r="H17" s="27"/>
      <c r="I17" s="27"/>
      <c r="J17" s="27"/>
      <c r="K17" s="27"/>
      <c r="L17" s="27"/>
      <c r="Q17" s="15"/>
      <c r="R17" s="23"/>
      <c r="S17" s="23"/>
    </row>
    <row r="18" spans="1:19" ht="38">
      <c r="A18" s="1" t="s">
        <v>51</v>
      </c>
      <c r="B18" s="1">
        <v>10</v>
      </c>
      <c r="C18" s="26"/>
      <c r="D18" s="27"/>
      <c r="E18" s="27"/>
      <c r="F18" s="27"/>
      <c r="G18" s="27"/>
      <c r="H18" s="27"/>
      <c r="I18" s="27"/>
      <c r="J18" s="27" t="s">
        <v>87</v>
      </c>
      <c r="K18" s="27"/>
      <c r="L18" s="27"/>
      <c r="Q18" s="15"/>
      <c r="R18" s="23"/>
      <c r="S18" s="23"/>
    </row>
    <row r="19" spans="1:19">
      <c r="A19" s="22" t="s">
        <v>52</v>
      </c>
      <c r="B19" s="1">
        <v>3</v>
      </c>
      <c r="C19" s="26"/>
      <c r="D19" s="27"/>
      <c r="E19" s="27"/>
      <c r="F19" s="27"/>
      <c r="G19" s="27"/>
      <c r="H19" s="27"/>
      <c r="I19" s="27"/>
      <c r="J19" s="27"/>
      <c r="K19" s="27"/>
      <c r="L19" s="27"/>
      <c r="P19" s="1" t="s">
        <v>98</v>
      </c>
      <c r="Q19" s="15"/>
      <c r="R19" s="23"/>
      <c r="S19" s="23"/>
    </row>
    <row r="20" spans="1:19" ht="38">
      <c r="A20" s="1" t="s">
        <v>64</v>
      </c>
      <c r="B20" s="1">
        <v>5</v>
      </c>
      <c r="C20" s="26"/>
      <c r="D20" s="27"/>
      <c r="E20" s="27" t="s">
        <v>81</v>
      </c>
      <c r="F20" s="27"/>
      <c r="G20" s="27"/>
      <c r="H20" s="27"/>
      <c r="I20" s="27"/>
      <c r="J20" s="27"/>
      <c r="K20" s="27"/>
      <c r="L20" s="27"/>
      <c r="Q20" s="15"/>
      <c r="R20" s="23"/>
      <c r="S20" s="23"/>
    </row>
    <row r="21" spans="1:19">
      <c r="A21" s="1" t="s">
        <v>154</v>
      </c>
      <c r="B21" s="1">
        <v>50</v>
      </c>
      <c r="C21" s="26"/>
      <c r="D21" s="27"/>
      <c r="E21" s="27"/>
      <c r="F21" s="27"/>
      <c r="G21" s="27"/>
      <c r="H21" s="27"/>
      <c r="I21" s="27"/>
      <c r="J21" s="27"/>
      <c r="K21" s="27"/>
      <c r="L21" s="27"/>
      <c r="Q21" s="15"/>
      <c r="R21" s="23"/>
      <c r="S21" s="23"/>
    </row>
    <row r="22" spans="1:19" ht="76">
      <c r="A22" s="1" t="s">
        <v>66</v>
      </c>
      <c r="B22" s="1">
        <v>500</v>
      </c>
      <c r="C22" s="26"/>
      <c r="D22" s="27"/>
      <c r="E22" s="27" t="s">
        <v>74</v>
      </c>
      <c r="F22" s="27"/>
      <c r="G22" s="27" t="s">
        <v>80</v>
      </c>
      <c r="H22" s="27"/>
      <c r="I22" s="27"/>
      <c r="J22" s="27"/>
      <c r="K22" s="27"/>
      <c r="L22" s="27"/>
      <c r="Q22" s="15"/>
      <c r="R22" s="23"/>
      <c r="S22" s="23"/>
    </row>
    <row r="23" spans="1:19" ht="76">
      <c r="A23" s="1" t="s">
        <v>44</v>
      </c>
      <c r="B23" s="1">
        <v>1</v>
      </c>
      <c r="C23" s="26" t="s">
        <v>67</v>
      </c>
      <c r="D23" s="27"/>
      <c r="E23" s="27"/>
      <c r="F23" s="27" t="s">
        <v>77</v>
      </c>
      <c r="G23" s="27"/>
      <c r="H23" s="27" t="s">
        <v>83</v>
      </c>
      <c r="I23" s="27" t="s">
        <v>85</v>
      </c>
      <c r="J23" s="27"/>
      <c r="K23" s="27"/>
      <c r="L23" s="27"/>
      <c r="Q23" s="15"/>
      <c r="R23" s="23"/>
      <c r="S23" s="23"/>
    </row>
    <row r="24" spans="1:19">
      <c r="A24" s="1" t="s">
        <v>47</v>
      </c>
      <c r="B24" s="1">
        <v>500</v>
      </c>
      <c r="C24" s="26"/>
      <c r="D24" s="27"/>
      <c r="E24" s="27"/>
      <c r="F24" s="27"/>
      <c r="G24" s="27"/>
      <c r="H24" s="27"/>
      <c r="I24" s="27"/>
      <c r="J24" s="27"/>
      <c r="K24" s="27"/>
      <c r="L24" s="27"/>
      <c r="Q24" s="15"/>
      <c r="R24" s="23"/>
      <c r="S24" s="23"/>
    </row>
    <row r="25" spans="1:19" ht="38">
      <c r="A25" s="1" t="s">
        <v>48</v>
      </c>
      <c r="B25" s="1">
        <v>100000</v>
      </c>
      <c r="C25" s="26"/>
      <c r="D25" s="27"/>
      <c r="E25" s="27"/>
      <c r="F25" s="27"/>
      <c r="G25" s="27"/>
      <c r="H25" s="27"/>
      <c r="I25" s="27"/>
      <c r="J25" s="27"/>
      <c r="K25" s="27" t="s">
        <v>89</v>
      </c>
      <c r="L25" s="27"/>
      <c r="O25" s="1" t="s">
        <v>96</v>
      </c>
      <c r="Q25" s="15"/>
      <c r="R25" s="23"/>
      <c r="S25" s="23"/>
    </row>
    <row r="26" spans="1:19" ht="38">
      <c r="A26" s="1" t="s">
        <v>49</v>
      </c>
      <c r="B26" s="1">
        <v>100000</v>
      </c>
      <c r="C26" s="26"/>
      <c r="D26" s="27"/>
      <c r="E26" s="27"/>
      <c r="F26" s="27"/>
      <c r="G26" s="27"/>
      <c r="H26" s="27"/>
      <c r="I26" s="27"/>
      <c r="J26" s="27"/>
      <c r="K26" s="27" t="s">
        <v>89</v>
      </c>
      <c r="L26" s="27"/>
      <c r="O26" s="1" t="s">
        <v>96</v>
      </c>
      <c r="Q26" s="15"/>
      <c r="R26" s="23"/>
      <c r="S26" s="23"/>
    </row>
    <row r="27" spans="1:19">
      <c r="A27" s="22" t="s">
        <v>69</v>
      </c>
      <c r="B27" s="1">
        <v>10000</v>
      </c>
      <c r="C27" s="26"/>
      <c r="D27" s="27"/>
      <c r="E27" s="27"/>
      <c r="F27" s="27"/>
      <c r="G27" s="27"/>
      <c r="H27" s="27"/>
      <c r="I27" s="27"/>
      <c r="J27" s="27"/>
      <c r="K27" s="27"/>
      <c r="L27" s="27"/>
      <c r="P27" s="1" t="s">
        <v>99</v>
      </c>
      <c r="Q27" s="15"/>
      <c r="R27" s="23"/>
      <c r="S27" s="23"/>
    </row>
    <row r="28" spans="1:19">
      <c r="A28" s="1" t="s">
        <v>100</v>
      </c>
      <c r="B28" s="1">
        <v>10000</v>
      </c>
      <c r="C28" s="26"/>
      <c r="D28" s="27"/>
      <c r="E28" s="27"/>
      <c r="F28" s="27"/>
      <c r="G28" s="27"/>
      <c r="H28" s="27"/>
      <c r="I28" s="27"/>
      <c r="J28" s="27"/>
      <c r="K28" s="27"/>
      <c r="L28" s="27"/>
      <c r="P28" s="1" t="s">
        <v>101</v>
      </c>
      <c r="Q28" s="15"/>
      <c r="R28" s="23"/>
      <c r="S28" s="23"/>
    </row>
    <row r="29" spans="1:19">
      <c r="A29" s="16" t="str">
        <f>'商品Database(Key保障內容）'!A29</f>
        <v>MAJIQA</v>
      </c>
      <c r="B29" s="1">
        <v>1</v>
      </c>
      <c r="C29" s="26"/>
      <c r="D29" s="27"/>
      <c r="E29" s="27"/>
      <c r="F29" s="27"/>
      <c r="G29" s="27"/>
      <c r="H29" s="27"/>
      <c r="I29" s="27"/>
      <c r="J29" s="27"/>
      <c r="K29" s="27"/>
      <c r="L29" s="27"/>
      <c r="M29" s="1" t="s">
        <v>93</v>
      </c>
      <c r="N29" s="1" t="s">
        <v>95</v>
      </c>
      <c r="Q29" s="15"/>
      <c r="R29" s="23"/>
      <c r="S29" s="23"/>
    </row>
    <row r="30" spans="1:19" ht="76">
      <c r="A30" s="16" t="str">
        <f>'商品Database(Key保障內容）'!A30</f>
        <v>GNHRL</v>
      </c>
      <c r="B30" s="1">
        <v>5</v>
      </c>
      <c r="C30" s="26"/>
      <c r="D30" s="27"/>
      <c r="E30" s="27" t="s">
        <v>72</v>
      </c>
      <c r="F30" s="27"/>
      <c r="G30" s="27"/>
      <c r="H30" s="27"/>
      <c r="I30" s="27"/>
      <c r="J30" s="27"/>
      <c r="K30" s="27"/>
      <c r="L30" s="27" t="s">
        <v>90</v>
      </c>
      <c r="Q30" s="15"/>
      <c r="R30" s="23"/>
      <c r="S30" s="23"/>
    </row>
    <row r="31" spans="1:19">
      <c r="A31" s="16" t="str">
        <f>'商品Database(Key保障內容）'!A31</f>
        <v>XDDR</v>
      </c>
      <c r="B31" s="1">
        <v>500000</v>
      </c>
      <c r="C31" s="28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9"/>
      <c r="R31" s="23"/>
      <c r="S31" s="23"/>
    </row>
    <row r="32" spans="1:19" ht="38">
      <c r="A32" s="16" t="s">
        <v>155</v>
      </c>
      <c r="B32" s="1">
        <v>5</v>
      </c>
      <c r="C32" s="26"/>
      <c r="D32" s="27"/>
      <c r="E32" s="27" t="s">
        <v>81</v>
      </c>
      <c r="F32" s="27"/>
      <c r="G32" s="27"/>
      <c r="H32" s="27"/>
      <c r="I32" s="27"/>
      <c r="J32" s="27"/>
      <c r="K32" s="27"/>
      <c r="L32" s="27"/>
      <c r="Q32" s="15"/>
      <c r="R32" s="23"/>
      <c r="S32" s="23"/>
    </row>
    <row r="33" spans="1:19">
      <c r="A33" s="16" t="str">
        <f>'商品Database(Key保障內容）'!A33</f>
        <v>EPAA</v>
      </c>
      <c r="B33" s="1">
        <v>1000000</v>
      </c>
      <c r="C33" s="28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9"/>
      <c r="R33" s="23"/>
      <c r="S33" s="23"/>
    </row>
    <row r="34" spans="1:19" ht="38">
      <c r="A34" s="19" t="s">
        <v>111</v>
      </c>
      <c r="B34" s="1">
        <v>500</v>
      </c>
      <c r="C34" s="26" t="s">
        <v>71</v>
      </c>
      <c r="D34" s="27"/>
      <c r="E34" s="27" t="s">
        <v>76</v>
      </c>
      <c r="F34" s="27"/>
      <c r="G34" s="27"/>
      <c r="H34" s="27"/>
      <c r="I34" s="27"/>
      <c r="J34" s="27"/>
      <c r="K34" s="27"/>
      <c r="L34" s="27" t="s">
        <v>90</v>
      </c>
      <c r="Q34" s="15"/>
      <c r="R34" s="23"/>
      <c r="S34" s="23"/>
    </row>
    <row r="35" spans="1:19" ht="57">
      <c r="A35" s="19" t="s">
        <v>112</v>
      </c>
      <c r="B35" s="1">
        <v>500</v>
      </c>
      <c r="C35" s="26"/>
      <c r="D35" s="27" t="s">
        <v>68</v>
      </c>
      <c r="E35" s="27"/>
      <c r="F35" s="27"/>
      <c r="G35" s="27"/>
      <c r="H35" s="27"/>
      <c r="I35" s="27"/>
      <c r="J35" s="27"/>
      <c r="K35" s="27"/>
      <c r="L35" s="27" t="s">
        <v>90</v>
      </c>
      <c r="Q35" s="15"/>
      <c r="R35" s="23"/>
      <c r="S35" s="23"/>
    </row>
    <row r="36" spans="1:19" ht="38">
      <c r="A36" s="1" t="s">
        <v>113</v>
      </c>
      <c r="B36" s="1">
        <v>1</v>
      </c>
      <c r="C36" s="26"/>
      <c r="D36" s="27"/>
      <c r="E36" s="27"/>
      <c r="F36" s="27"/>
      <c r="G36" s="27"/>
      <c r="H36" s="27"/>
      <c r="I36" s="27"/>
      <c r="J36" s="27"/>
      <c r="K36" s="27" t="s">
        <v>88</v>
      </c>
      <c r="L36" s="27"/>
      <c r="M36" s="1" t="s">
        <v>92</v>
      </c>
      <c r="Q36" s="15"/>
      <c r="R36" s="23"/>
      <c r="S36" s="23"/>
    </row>
    <row r="37" spans="1:19">
      <c r="A37" s="1" t="s">
        <v>114</v>
      </c>
      <c r="B37" s="1">
        <v>12</v>
      </c>
      <c r="C37" s="26"/>
      <c r="D37" s="27"/>
      <c r="E37" s="27"/>
      <c r="F37" s="27"/>
      <c r="G37" s="27"/>
      <c r="H37" s="27"/>
      <c r="I37" s="27"/>
      <c r="J37" s="27"/>
      <c r="K37" s="27"/>
      <c r="L37" s="27"/>
      <c r="Q37" s="15" t="s">
        <v>102</v>
      </c>
      <c r="R37" s="23"/>
      <c r="S37" s="23"/>
    </row>
    <row r="38" spans="1:19" ht="95">
      <c r="A38" s="16" t="s">
        <v>115</v>
      </c>
      <c r="B38" s="1">
        <v>500</v>
      </c>
      <c r="C38" s="28"/>
      <c r="D38" s="23"/>
      <c r="E38" s="33" t="s">
        <v>116</v>
      </c>
      <c r="F38" s="23"/>
      <c r="G38" s="33" t="s">
        <v>117</v>
      </c>
      <c r="H38" s="23"/>
      <c r="I38" s="23"/>
      <c r="J38" s="33" t="s">
        <v>116</v>
      </c>
      <c r="K38" s="23"/>
      <c r="L38" s="23"/>
      <c r="M38" s="23"/>
      <c r="N38" s="23"/>
      <c r="O38" s="23"/>
      <c r="P38" s="23"/>
      <c r="Q38" s="29"/>
      <c r="R38" s="23"/>
      <c r="S38" s="23"/>
    </row>
    <row r="39" spans="1:19" ht="114">
      <c r="A39" s="16" t="s">
        <v>118</v>
      </c>
      <c r="B39" s="1">
        <v>1</v>
      </c>
      <c r="C39" s="26" t="s">
        <v>67</v>
      </c>
      <c r="D39" s="23"/>
      <c r="E39" s="23"/>
      <c r="F39" s="27" t="s">
        <v>119</v>
      </c>
      <c r="G39" s="23"/>
      <c r="H39" s="33" t="s">
        <v>124</v>
      </c>
      <c r="I39" s="27" t="s">
        <v>125</v>
      </c>
      <c r="J39" s="23"/>
      <c r="K39" s="23"/>
      <c r="L39" s="23"/>
      <c r="M39" s="23"/>
      <c r="N39" s="23"/>
      <c r="O39" s="23"/>
      <c r="P39" s="23"/>
      <c r="Q39" s="29"/>
      <c r="R39" s="23"/>
      <c r="S39" s="23"/>
    </row>
    <row r="40" spans="1:19">
      <c r="A40" s="1" t="s">
        <v>120</v>
      </c>
      <c r="B40" s="1">
        <v>1</v>
      </c>
      <c r="C40" s="28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1" t="s">
        <v>121</v>
      </c>
      <c r="P40" s="23"/>
      <c r="Q40" s="29"/>
      <c r="R40" s="23"/>
      <c r="S40" s="23"/>
    </row>
    <row r="41" spans="1:19">
      <c r="A41" s="16" t="str">
        <f>'商品Database(Key保障內容）'!A41</f>
        <v>MAJIXA</v>
      </c>
      <c r="B41" s="1">
        <v>1</v>
      </c>
      <c r="C41" s="28"/>
      <c r="D41" s="23"/>
      <c r="E41" s="23"/>
      <c r="F41" s="23"/>
      <c r="G41" s="23"/>
      <c r="H41" s="23"/>
      <c r="I41" s="23"/>
      <c r="J41" s="23"/>
      <c r="K41" s="23" t="s">
        <v>123</v>
      </c>
      <c r="L41" s="23"/>
      <c r="M41" s="23"/>
      <c r="N41" s="23"/>
      <c r="O41" s="23"/>
      <c r="P41" s="23"/>
      <c r="Q41" s="29"/>
      <c r="R41" s="23"/>
      <c r="S41" s="23"/>
    </row>
    <row r="42" spans="1:19" ht="76">
      <c r="A42" s="16" t="s">
        <v>126</v>
      </c>
      <c r="B42" s="1">
        <v>30</v>
      </c>
      <c r="C42" s="26" t="s">
        <v>67</v>
      </c>
      <c r="D42" s="27"/>
      <c r="E42" s="27"/>
      <c r="F42" s="27" t="s">
        <v>77</v>
      </c>
      <c r="G42" s="27"/>
      <c r="H42" s="27" t="s">
        <v>127</v>
      </c>
      <c r="I42" s="27" t="s">
        <v>85</v>
      </c>
      <c r="J42" s="23"/>
      <c r="K42" s="23"/>
      <c r="L42" s="23"/>
      <c r="M42" s="23"/>
      <c r="N42" s="23"/>
      <c r="O42" s="23"/>
      <c r="P42" s="23"/>
      <c r="Q42" s="29"/>
      <c r="R42" s="23"/>
      <c r="S42" s="23"/>
    </row>
    <row r="43" spans="1:19">
      <c r="A43" s="1" t="s">
        <v>56</v>
      </c>
      <c r="B43" s="1">
        <v>12</v>
      </c>
      <c r="C43" s="26"/>
      <c r="D43" s="27"/>
      <c r="E43" s="27"/>
      <c r="F43" s="27"/>
      <c r="G43" s="27"/>
      <c r="H43" s="27"/>
      <c r="I43" s="27"/>
      <c r="J43" s="27"/>
      <c r="K43" s="27"/>
      <c r="L43" s="27"/>
      <c r="Q43" s="15" t="s">
        <v>102</v>
      </c>
      <c r="R43" s="23"/>
      <c r="S43" s="23"/>
    </row>
    <row r="44" spans="1:19">
      <c r="A44" s="1" t="s">
        <v>152</v>
      </c>
      <c r="B44" s="1">
        <v>10000</v>
      </c>
      <c r="C44" s="26"/>
      <c r="D44" s="27"/>
      <c r="E44" s="27"/>
      <c r="F44" s="27"/>
      <c r="G44" s="27"/>
      <c r="H44" s="27"/>
      <c r="I44" s="27"/>
      <c r="J44" s="27"/>
      <c r="K44" s="27"/>
      <c r="L44" s="27"/>
      <c r="P44" s="15"/>
      <c r="Q44" s="15" t="s">
        <v>129</v>
      </c>
      <c r="R44" s="23"/>
      <c r="S44" s="23"/>
    </row>
    <row r="45" spans="1:19" s="27" customFormat="1" ht="69" customHeight="1">
      <c r="A45" s="26" t="s">
        <v>151</v>
      </c>
      <c r="B45" s="27">
        <v>500</v>
      </c>
      <c r="C45" s="34"/>
      <c r="D45" s="33"/>
      <c r="E45" s="33" t="s">
        <v>133</v>
      </c>
      <c r="F45" s="33"/>
      <c r="G45" s="33" t="s">
        <v>132</v>
      </c>
      <c r="H45" s="33"/>
      <c r="I45" s="33"/>
      <c r="J45" s="33"/>
      <c r="K45" s="33"/>
      <c r="L45" s="33" t="s">
        <v>131</v>
      </c>
      <c r="M45" s="33"/>
      <c r="N45" s="33"/>
      <c r="O45" s="33" t="s">
        <v>134</v>
      </c>
      <c r="P45" s="33"/>
      <c r="Q45" s="35"/>
      <c r="R45" s="33"/>
      <c r="S45" s="33"/>
    </row>
    <row r="46" spans="1:19" ht="76">
      <c r="A46" s="16" t="s">
        <v>135</v>
      </c>
      <c r="B46" s="1">
        <v>1000</v>
      </c>
      <c r="C46" s="28"/>
      <c r="D46" s="23"/>
      <c r="E46" s="33" t="s">
        <v>136</v>
      </c>
      <c r="F46" s="23"/>
      <c r="G46" s="33" t="s">
        <v>136</v>
      </c>
      <c r="H46" s="23"/>
      <c r="I46" s="23"/>
      <c r="J46" s="23"/>
      <c r="K46" s="23"/>
      <c r="L46" s="23"/>
      <c r="M46" s="23"/>
      <c r="N46" s="23"/>
      <c r="O46" s="23"/>
      <c r="P46" s="23"/>
      <c r="Q46" s="29"/>
      <c r="R46" s="23"/>
      <c r="S46" s="23"/>
    </row>
    <row r="47" spans="1:19" ht="76">
      <c r="A47" s="16" t="s">
        <v>137</v>
      </c>
      <c r="B47" s="1">
        <v>1000</v>
      </c>
      <c r="C47" s="28"/>
      <c r="D47" s="23"/>
      <c r="E47" s="33" t="s">
        <v>136</v>
      </c>
      <c r="F47" s="23"/>
      <c r="G47" s="33" t="s">
        <v>136</v>
      </c>
      <c r="H47" s="23"/>
      <c r="I47" s="23"/>
      <c r="J47" s="23"/>
      <c r="K47" s="23"/>
      <c r="L47" s="23"/>
      <c r="M47" s="23"/>
      <c r="N47" s="23"/>
      <c r="O47" s="23"/>
      <c r="P47" s="23"/>
      <c r="Q47" s="29"/>
      <c r="R47" s="23"/>
      <c r="S47" s="23"/>
    </row>
    <row r="48" spans="1:19" ht="76">
      <c r="A48" s="1" t="s">
        <v>138</v>
      </c>
      <c r="B48" s="1">
        <v>1</v>
      </c>
      <c r="C48" s="26" t="s">
        <v>140</v>
      </c>
      <c r="D48" s="27"/>
      <c r="E48" s="27"/>
      <c r="F48" s="27" t="s">
        <v>139</v>
      </c>
      <c r="G48" s="27"/>
      <c r="H48" s="27" t="s">
        <v>141</v>
      </c>
      <c r="I48" s="27" t="s">
        <v>85</v>
      </c>
      <c r="J48" s="27"/>
      <c r="K48" s="27"/>
      <c r="L48" s="27"/>
      <c r="Q48" s="15"/>
      <c r="R48" s="23"/>
      <c r="S48" s="23"/>
    </row>
    <row r="49" spans="1:19" ht="76">
      <c r="A49" s="1" t="s">
        <v>144</v>
      </c>
      <c r="B49" s="1">
        <v>1</v>
      </c>
      <c r="C49" s="26" t="s">
        <v>145</v>
      </c>
      <c r="D49" s="27"/>
      <c r="E49" s="27"/>
      <c r="F49" s="27" t="s">
        <v>139</v>
      </c>
      <c r="G49" s="27"/>
      <c r="H49" s="27" t="s">
        <v>83</v>
      </c>
      <c r="I49" s="27" t="s">
        <v>85</v>
      </c>
      <c r="J49" s="27"/>
      <c r="K49" s="27"/>
      <c r="L49" s="27"/>
      <c r="Q49" s="15"/>
      <c r="R49" s="23"/>
      <c r="S49" s="23"/>
    </row>
    <row r="50" spans="1:19" ht="57">
      <c r="A50" s="1" t="s">
        <v>146</v>
      </c>
      <c r="B50" s="1">
        <v>1</v>
      </c>
      <c r="C50" s="26" t="s">
        <v>148</v>
      </c>
      <c r="D50" s="27"/>
      <c r="E50" s="27"/>
      <c r="F50" s="27" t="s">
        <v>149</v>
      </c>
      <c r="G50" s="27"/>
      <c r="H50" s="27" t="s">
        <v>147</v>
      </c>
      <c r="I50" s="27" t="s">
        <v>149</v>
      </c>
      <c r="J50" s="27"/>
      <c r="K50" s="27"/>
      <c r="L50" s="27"/>
      <c r="Q50" s="15"/>
      <c r="R50" s="23"/>
      <c r="S50" s="23"/>
    </row>
    <row r="51" spans="1:19" ht="76">
      <c r="A51" s="16" t="s">
        <v>150</v>
      </c>
      <c r="B51" s="1">
        <v>1000</v>
      </c>
      <c r="C51" s="28"/>
      <c r="D51" s="23"/>
      <c r="E51" s="33" t="s">
        <v>136</v>
      </c>
      <c r="F51" s="23"/>
      <c r="G51" s="33" t="s">
        <v>136</v>
      </c>
      <c r="H51" s="23"/>
      <c r="I51" s="23"/>
      <c r="J51" s="23"/>
      <c r="K51" s="23"/>
      <c r="L51" s="23"/>
      <c r="M51" s="23"/>
      <c r="N51" s="23"/>
      <c r="O51" s="23"/>
      <c r="P51" s="23"/>
      <c r="Q51" s="29"/>
      <c r="R51" s="23"/>
      <c r="S51" s="23"/>
    </row>
    <row r="52" spans="1:19">
      <c r="A52" s="1" t="s">
        <v>153</v>
      </c>
      <c r="B52" s="1">
        <v>10000</v>
      </c>
      <c r="C52" s="26"/>
      <c r="D52" s="27"/>
      <c r="E52" s="27"/>
      <c r="F52" s="27"/>
      <c r="G52" s="27"/>
      <c r="H52" s="27"/>
      <c r="I52" s="27"/>
      <c r="J52" s="27"/>
      <c r="K52" s="27"/>
      <c r="L52" s="27"/>
      <c r="P52" s="15"/>
      <c r="Q52" s="15" t="s">
        <v>102</v>
      </c>
      <c r="R52" s="23"/>
      <c r="S52" s="23"/>
    </row>
    <row r="53" spans="1:19" ht="38">
      <c r="A53" s="1" t="s">
        <v>156</v>
      </c>
      <c r="B53" s="1">
        <v>10000</v>
      </c>
      <c r="C53" s="26"/>
      <c r="D53" s="27"/>
      <c r="E53" s="27"/>
      <c r="F53" s="27"/>
      <c r="G53" s="27"/>
      <c r="H53" s="27"/>
      <c r="I53" s="27"/>
      <c r="J53" s="27"/>
      <c r="K53" s="27" t="s">
        <v>157</v>
      </c>
      <c r="L53" s="27"/>
      <c r="Q53" s="15"/>
      <c r="R53" s="23"/>
      <c r="S53" s="23"/>
    </row>
    <row r="54" spans="1:19" ht="76">
      <c r="A54" s="1" t="s">
        <v>160</v>
      </c>
      <c r="B54" s="1">
        <v>1</v>
      </c>
      <c r="C54" s="26" t="s">
        <v>145</v>
      </c>
      <c r="D54" s="27"/>
      <c r="E54" s="27"/>
      <c r="F54" s="27" t="s">
        <v>139</v>
      </c>
      <c r="G54" s="27"/>
      <c r="H54" s="27" t="s">
        <v>83</v>
      </c>
      <c r="I54" s="27" t="s">
        <v>85</v>
      </c>
      <c r="J54" s="27"/>
      <c r="K54" s="27"/>
      <c r="L54" s="27"/>
      <c r="Q54" s="15"/>
      <c r="R54" s="23"/>
      <c r="S54" s="23"/>
    </row>
    <row r="55" spans="1:19" ht="76">
      <c r="A55" s="16" t="s">
        <v>162</v>
      </c>
      <c r="B55" s="1">
        <v>500</v>
      </c>
      <c r="C55" s="28"/>
      <c r="D55" s="23"/>
      <c r="E55" s="33" t="s">
        <v>136</v>
      </c>
      <c r="F55" s="23"/>
      <c r="G55" s="33" t="s">
        <v>136</v>
      </c>
      <c r="H55" s="23"/>
      <c r="I55" s="23"/>
      <c r="J55" s="23"/>
      <c r="K55" s="23"/>
      <c r="L55" s="23"/>
      <c r="M55" s="23"/>
      <c r="N55" s="23"/>
      <c r="O55" s="23"/>
      <c r="P55" s="23"/>
      <c r="Q55" s="29"/>
      <c r="R55" s="23"/>
      <c r="S55" s="23"/>
    </row>
    <row r="56" spans="1:19" ht="19" thickBot="1">
      <c r="A56" s="17"/>
      <c r="B56" s="18"/>
      <c r="C56" s="30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2"/>
      <c r="R56" s="23"/>
      <c r="S56" s="23"/>
    </row>
    <row r="58" spans="1:19">
      <c r="A58" s="36" t="s">
        <v>70</v>
      </c>
      <c r="B58" s="36"/>
    </row>
    <row r="59" spans="1:19">
      <c r="A59" s="36"/>
      <c r="B59" s="36"/>
    </row>
    <row r="60" spans="1:19">
      <c r="A60" s="36"/>
      <c r="B60" s="36"/>
    </row>
    <row r="61" spans="1:19">
      <c r="A61" s="36" t="s">
        <v>103</v>
      </c>
      <c r="B61" s="36"/>
    </row>
    <row r="62" spans="1:19">
      <c r="A62" s="36"/>
      <c r="B62" s="36"/>
    </row>
    <row r="63" spans="1:19">
      <c r="A63" s="36"/>
      <c r="B63" s="36"/>
    </row>
  </sheetData>
  <mergeCells count="2">
    <mergeCell ref="A58:B60"/>
    <mergeCell ref="A61:B63"/>
  </mergeCells>
  <phoneticPr fontId="1" type="noConversion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工作暫存區</vt:lpstr>
      <vt:lpstr>商品Database(Key保障內容）</vt:lpstr>
      <vt:lpstr>商品Database2(Key基準數)</vt:lpstr>
      <vt:lpstr>商品Database敘述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心韋 張</cp:lastModifiedBy>
  <cp:lastPrinted>2023-06-06T05:41:58Z</cp:lastPrinted>
  <dcterms:created xsi:type="dcterms:W3CDTF">2020-03-18T09:55:39Z</dcterms:created>
  <dcterms:modified xsi:type="dcterms:W3CDTF">2025-12-21T17:28:55Z</dcterms:modified>
</cp:coreProperties>
</file>